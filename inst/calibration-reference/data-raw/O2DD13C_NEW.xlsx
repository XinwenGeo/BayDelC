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Raw_Data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<sst xmlns="http://schemas.openxmlformats.org/spreadsheetml/2006/main" count="694" uniqueCount="125">
  <si>
    <t>Location</t>
  </si>
  <si>
    <t>Core name</t>
  </si>
  <si>
    <t>Lat</t>
  </si>
  <si>
    <t>Lon</t>
  </si>
  <si>
    <t>Water Depth</t>
  </si>
  <si>
    <t>Average oxygen (umol/kg)</t>
  </si>
  <si>
    <t>Average oxygen (umol/kg) 1stdev</t>
  </si>
  <si>
    <t>Cib Species</t>
  </si>
  <si>
    <t>Globobulimina species</t>
  </si>
  <si>
    <t>Ddl3C</t>
  </si>
  <si>
    <t>Ddl3C 1stdev</t>
  </si>
  <si>
    <t>type</t>
  </si>
  <si>
    <t>reference</t>
  </si>
  <si>
    <t>[NO3][µmol/kg]</t>
  </si>
  <si>
    <t>[PO4][µmol/kg]</t>
  </si>
  <si>
    <r>
      <rPr>
        <b/>
        <sz val="9"/>
        <rFont val="Times New Roman"/>
        <charset val="134"/>
      </rPr>
      <t>TOC </t>
    </r>
    <r>
      <rPr>
        <sz val="9"/>
        <rFont val="Times New Roman"/>
        <charset val="134"/>
      </rPr>
      <t>[%]</t>
    </r>
  </si>
  <si>
    <r>
      <rPr>
        <b/>
        <sz val="9"/>
        <rFont val="Times New Roman"/>
        <charset val="134"/>
      </rPr>
      <t>CaCO3 </t>
    </r>
    <r>
      <rPr>
        <sz val="9"/>
        <rFont val="Times New Roman"/>
        <charset val="134"/>
      </rPr>
      <t>[%]</t>
    </r>
  </si>
  <si>
    <t>outlier</t>
  </si>
  <si>
    <t>Age</t>
  </si>
  <si>
    <t>Age source</t>
  </si>
  <si>
    <t>Arabian</t>
  </si>
  <si>
    <t>GeoB3004</t>
  </si>
  <si>
    <t>C.wuellerstorfi</t>
  </si>
  <si>
    <t>G.affinis</t>
  </si>
  <si>
    <t>epifaunal and deep infaunal benthic foraminifera</t>
  </si>
  <si>
    <t>Schmiedl and Mackensen, 2006</t>
  </si>
  <si>
    <t>Atlantic</t>
  </si>
  <si>
    <t>KNR197-3-24MC</t>
  </si>
  <si>
    <t>C.pachyderma</t>
  </si>
  <si>
    <t>Costa et al., 2023</t>
  </si>
  <si>
    <t>KNR197-3-2MC</t>
  </si>
  <si>
    <t>KNR197-3-26MC</t>
  </si>
  <si>
    <t>KNR197-3-28MC</t>
  </si>
  <si>
    <t>KNR197-3-17MC</t>
  </si>
  <si>
    <t>KNR197-3-10MC</t>
  </si>
  <si>
    <t>KNR197-3-33MC</t>
  </si>
  <si>
    <t>JC89-11</t>
  </si>
  <si>
    <t>C.mundulus</t>
  </si>
  <si>
    <t>Thomas et al., 2022</t>
  </si>
  <si>
    <t>JC89-10</t>
  </si>
  <si>
    <t>JC89-13</t>
  </si>
  <si>
    <t>JC89-09</t>
  </si>
  <si>
    <t>JC89-08</t>
  </si>
  <si>
    <t>JC89-06</t>
  </si>
  <si>
    <t>GeoB3708</t>
  </si>
  <si>
    <t>G.pacifica</t>
  </si>
  <si>
    <t>Mackensen and Licari, 2004</t>
  </si>
  <si>
    <t>GeoB3706</t>
  </si>
  <si>
    <t>GeoB3606-1</t>
  </si>
  <si>
    <t>G.turgida</t>
  </si>
  <si>
    <t>McKay at al., 2016</t>
  </si>
  <si>
    <t>GeoB3725</t>
  </si>
  <si>
    <t>KNR197-3-41MC</t>
  </si>
  <si>
    <t>RAPID 11 7B/RAPID</t>
  </si>
  <si>
    <t>Hoogakker et al., 2015</t>
  </si>
  <si>
    <t>KNR197-3-37MC</t>
  </si>
  <si>
    <t>KNR197-3-35MC</t>
  </si>
  <si>
    <t>Indian</t>
  </si>
  <si>
    <t>TN041-8PG/8JPC</t>
  </si>
  <si>
    <t>C.unidentified</t>
  </si>
  <si>
    <t>Lu et al., 2022</t>
  </si>
  <si>
    <t>Pacific</t>
  </si>
  <si>
    <t>ODP 1242</t>
  </si>
  <si>
    <t>mixed</t>
  </si>
  <si>
    <t>TR163-25</t>
  </si>
  <si>
    <t>TR163-23</t>
  </si>
  <si>
    <t>Umling and Thunel, 2018</t>
  </si>
  <si>
    <t>ODP 1240</t>
  </si>
  <si>
    <t>Jacobel et al., 2020</t>
  </si>
  <si>
    <t>ODP 846</t>
  </si>
  <si>
    <t>KNR195-5-MC-25B</t>
  </si>
  <si>
    <t>Lu et al., 2026</t>
  </si>
  <si>
    <t>KNR195-5-MC-42B</t>
  </si>
  <si>
    <t>KNR195-5-MC-22A</t>
  </si>
  <si>
    <t>KNR195-5-MC-18B</t>
  </si>
  <si>
    <t>KNR195-5-MC-4B</t>
  </si>
  <si>
    <t>KNR195-5-MC-9B</t>
  </si>
  <si>
    <t>KNR195-5-MC-33B</t>
  </si>
  <si>
    <r>
      <rPr>
        <sz val="11"/>
        <rFont val="Times New Roman"/>
        <charset val="134"/>
      </rPr>
      <t xml:space="preserve">North
</t>
    </r>
    <r>
      <rPr>
        <sz val="11"/>
        <rFont val="Times New Roman"/>
        <charset val="134"/>
      </rPr>
      <t>Atlantic</t>
    </r>
  </si>
  <si>
    <r>
      <rPr>
        <sz val="11"/>
        <rFont val="Times New Roman"/>
        <charset val="134"/>
      </rPr>
      <t>K-104-10-1</t>
    </r>
  </si>
  <si>
    <t>bottom and pore
water</t>
  </si>
  <si>
    <r>
      <rPr>
        <sz val="11"/>
        <rFont val="Times New Roman"/>
        <charset val="134"/>
      </rPr>
      <t xml:space="preserve">McCorkle and Emerson
</t>
    </r>
    <r>
      <rPr>
        <sz val="11"/>
        <rFont val="Times New Roman"/>
        <charset val="134"/>
      </rPr>
      <t>(1988)</t>
    </r>
  </si>
  <si>
    <r>
      <rPr>
        <sz val="11"/>
        <rFont val="Times New Roman"/>
        <charset val="134"/>
      </rPr>
      <t>K-104-10-3</t>
    </r>
  </si>
  <si>
    <r>
      <rPr>
        <sz val="11"/>
        <rFont val="Times New Roman"/>
        <charset val="134"/>
      </rPr>
      <t xml:space="preserve">bottom and pore
</t>
    </r>
    <r>
      <rPr>
        <sz val="11"/>
        <rFont val="Times New Roman"/>
        <charset val="134"/>
      </rPr>
      <t>water</t>
    </r>
  </si>
  <si>
    <r>
      <rPr>
        <sz val="11"/>
        <rFont val="Times New Roman"/>
        <charset val="134"/>
      </rPr>
      <t>North Atlantic</t>
    </r>
  </si>
  <si>
    <r>
      <rPr>
        <sz val="11"/>
        <rFont val="Times New Roman"/>
        <charset val="134"/>
      </rPr>
      <t>K-104-10-4</t>
    </r>
  </si>
  <si>
    <r>
      <rPr>
        <sz val="11"/>
        <rFont val="Times New Roman"/>
        <charset val="134"/>
      </rPr>
      <t>bottom and pore water</t>
    </r>
  </si>
  <si>
    <r>
      <rPr>
        <sz val="11"/>
        <rFont val="Times New Roman"/>
        <charset val="134"/>
      </rPr>
      <t>McCorkle and Emerson (1988)</t>
    </r>
  </si>
  <si>
    <r>
      <rPr>
        <sz val="11"/>
        <rFont val="Times New Roman"/>
        <charset val="134"/>
      </rPr>
      <t>Site B</t>
    </r>
  </si>
  <si>
    <r>
      <rPr>
        <sz val="11"/>
        <rFont val="Times New Roman"/>
        <charset val="134"/>
      </rPr>
      <t xml:space="preserve">Papadimitriou et al. (2004); assumed </t>
    </r>
    <r>
      <rPr>
        <sz val="11"/>
        <rFont val="Symbol"/>
        <charset val="134"/>
      </rPr>
      <t></t>
    </r>
    <r>
      <rPr>
        <vertAlign val="superscript"/>
        <sz val="11"/>
        <rFont val="Times New Roman"/>
        <charset val="134"/>
      </rPr>
      <t>13</t>
    </r>
    <r>
      <rPr>
        <sz val="11"/>
        <rFont val="Times New Roman"/>
        <charset val="134"/>
      </rPr>
      <t xml:space="preserve">C 1‰ bottom water from nearby GLODAP
</t>
    </r>
    <r>
      <rPr>
        <sz val="11"/>
        <rFont val="Times New Roman"/>
        <charset val="134"/>
      </rPr>
      <t>data ~ 1000 m water depth. 0.2‰ uncertainty added</t>
    </r>
  </si>
  <si>
    <r>
      <rPr>
        <sz val="11"/>
        <rFont val="Times New Roman"/>
        <charset val="134"/>
      </rPr>
      <t>Eastern Pacific</t>
    </r>
  </si>
  <si>
    <r>
      <rPr>
        <sz val="11"/>
        <rFont val="Times New Roman"/>
        <charset val="134"/>
      </rPr>
      <t>TT-163-10</t>
    </r>
  </si>
  <si>
    <r>
      <rPr>
        <sz val="11"/>
        <rFont val="Times New Roman"/>
        <charset val="134"/>
      </rPr>
      <t xml:space="preserve">MANOP
</t>
    </r>
    <r>
      <rPr>
        <sz val="11"/>
        <rFont val="Times New Roman"/>
        <charset val="134"/>
      </rPr>
      <t>Site M BC- 20</t>
    </r>
  </si>
  <si>
    <r>
      <rPr>
        <sz val="11"/>
        <rFont val="Times New Roman"/>
        <charset val="134"/>
      </rPr>
      <t>Station A</t>
    </r>
  </si>
  <si>
    <r>
      <rPr>
        <sz val="11"/>
        <rFont val="Times New Roman"/>
        <charset val="134"/>
      </rPr>
      <t xml:space="preserve">bottom water and
</t>
    </r>
    <r>
      <rPr>
        <i/>
        <sz val="11"/>
        <rFont val="Times New Roman"/>
        <charset val="134"/>
      </rPr>
      <t xml:space="preserve">G. affinis </t>
    </r>
    <r>
      <rPr>
        <sz val="11"/>
        <rFont val="Times New Roman"/>
        <charset val="134"/>
      </rPr>
      <t>(RB stained)</t>
    </r>
  </si>
  <si>
    <r>
      <rPr>
        <sz val="11"/>
        <rFont val="Times New Roman"/>
        <charset val="204"/>
      </rPr>
      <t xml:space="preserve">bottom water and
</t>
    </r>
    <r>
      <rPr>
        <i/>
        <sz val="11"/>
        <rFont val="Times New Roman"/>
        <charset val="204"/>
      </rPr>
      <t>Globobulimina (spp.)</t>
    </r>
  </si>
  <si>
    <r>
      <rPr>
        <sz val="11"/>
        <rFont val="Times New Roman"/>
        <charset val="134"/>
      </rPr>
      <t>Fontanier et al. (2006)</t>
    </r>
  </si>
  <si>
    <r>
      <rPr>
        <sz val="11"/>
        <rFont val="Times New Roman"/>
        <charset val="134"/>
      </rPr>
      <t>Station H</t>
    </r>
  </si>
  <si>
    <r>
      <rPr>
        <sz val="11"/>
        <rFont val="Times New Roman"/>
        <charset val="134"/>
      </rPr>
      <t>K-104-10-1 (2)</t>
    </r>
  </si>
  <si>
    <r>
      <rPr>
        <sz val="11"/>
        <rFont val="Times New Roman"/>
        <charset val="204"/>
      </rPr>
      <t xml:space="preserve">bottom water and stained)
</t>
    </r>
    <r>
      <rPr>
        <i/>
        <sz val="11"/>
        <rFont val="Times New Roman"/>
        <charset val="204"/>
      </rPr>
      <t xml:space="preserve">G. affinis </t>
    </r>
    <r>
      <rPr>
        <sz val="11"/>
        <rFont val="Times New Roman"/>
        <charset val="204"/>
      </rPr>
      <t>(RB</t>
    </r>
  </si>
  <si>
    <r>
      <rPr>
        <sz val="11"/>
        <rFont val="Times New Roman"/>
        <charset val="134"/>
      </rPr>
      <t>McCorkle et al. 1990</t>
    </r>
  </si>
  <si>
    <r>
      <rPr>
        <sz val="11"/>
        <rFont val="Times New Roman"/>
        <charset val="134"/>
      </rPr>
      <t>K-104-10-2 (1)</t>
    </r>
  </si>
  <si>
    <r>
      <rPr>
        <sz val="11"/>
        <rFont val="Times New Roman"/>
        <charset val="134"/>
      </rPr>
      <t>K-104-10-3 (1)</t>
    </r>
  </si>
  <si>
    <r>
      <rPr>
        <sz val="11"/>
        <rFont val="Times New Roman"/>
        <charset val="134"/>
      </rPr>
      <t>K-104-10-3 (2)</t>
    </r>
  </si>
  <si>
    <r>
      <rPr>
        <sz val="11"/>
        <rFont val="Times New Roman"/>
        <charset val="134"/>
      </rPr>
      <t>K-104-10-4 (1)</t>
    </r>
  </si>
  <si>
    <r>
      <rPr>
        <sz val="11"/>
        <rFont val="Times New Roman"/>
        <charset val="134"/>
      </rPr>
      <t xml:space="preserve">CH14 1(1)
</t>
    </r>
    <r>
      <rPr>
        <sz val="11"/>
        <rFont val="Times New Roman"/>
        <charset val="134"/>
      </rPr>
      <t>and (2)</t>
    </r>
  </si>
  <si>
    <r>
      <rPr>
        <sz val="11"/>
        <rFont val="Times New Roman"/>
        <charset val="134"/>
      </rPr>
      <t>Gyre 2-3</t>
    </r>
  </si>
  <si>
    <r>
      <rPr>
        <sz val="11"/>
        <rFont val="Times New Roman"/>
        <charset val="134"/>
      </rPr>
      <t>86/2:7-4:22</t>
    </r>
  </si>
  <si>
    <r>
      <rPr>
        <sz val="11"/>
        <rFont val="Times New Roman"/>
        <charset val="134"/>
      </rPr>
      <t>86-G-14</t>
    </r>
  </si>
  <si>
    <r>
      <rPr>
        <sz val="11"/>
        <rFont val="Times New Roman"/>
        <charset val="134"/>
      </rPr>
      <t>CH90-BC5</t>
    </r>
  </si>
  <si>
    <r>
      <rPr>
        <sz val="11"/>
        <rFont val="Times New Roman"/>
        <charset val="134"/>
      </rPr>
      <t>McCorkle et al. 1997</t>
    </r>
  </si>
  <si>
    <r>
      <rPr>
        <sz val="11"/>
        <rFont val="Times New Roman"/>
        <charset val="134"/>
      </rPr>
      <t>South Indian</t>
    </r>
  </si>
  <si>
    <r>
      <rPr>
        <sz val="11"/>
        <rFont val="Times New Roman"/>
        <charset val="134"/>
      </rPr>
      <t>AUSCAN MC05</t>
    </r>
  </si>
  <si>
    <r>
      <rPr>
        <sz val="11"/>
        <rFont val="Times New Roman"/>
        <charset val="134"/>
      </rPr>
      <t xml:space="preserve">bottom water and
</t>
    </r>
    <r>
      <rPr>
        <i/>
        <sz val="11"/>
        <rFont val="Times New Roman"/>
        <charset val="134"/>
      </rPr>
      <t xml:space="preserve">G. pacifica </t>
    </r>
    <r>
      <rPr>
        <sz val="11"/>
        <rFont val="Times New Roman"/>
        <charset val="134"/>
      </rPr>
      <t>(RB stained)</t>
    </r>
  </si>
  <si>
    <t>Basak et al. (2009)</t>
  </si>
  <si>
    <r>
      <rPr>
        <sz val="11"/>
        <rFont val="Times New Roman"/>
        <charset val="134"/>
      </rPr>
      <t>AUSCAN MC04</t>
    </r>
  </si>
  <si>
    <r>
      <rPr>
        <sz val="11"/>
        <rFont val="Times New Roman"/>
        <charset val="134"/>
      </rPr>
      <t>Basak et al. (2009)</t>
    </r>
  </si>
  <si>
    <r>
      <rPr>
        <sz val="11"/>
        <rFont val="Times New Roman"/>
        <charset val="134"/>
      </rPr>
      <t>North Pacific</t>
    </r>
  </si>
  <si>
    <r>
      <rPr>
        <sz val="11"/>
        <rFont val="Times New Roman"/>
        <charset val="134"/>
      </rPr>
      <t>JD88TC37</t>
    </r>
  </si>
  <si>
    <r>
      <rPr>
        <sz val="11"/>
        <rFont val="Times New Roman"/>
        <charset val="134"/>
      </rPr>
      <t>SCB-BC-3</t>
    </r>
  </si>
  <si>
    <r>
      <rPr>
        <sz val="11"/>
        <rFont val="Times New Roman"/>
        <charset val="134"/>
      </rPr>
      <t xml:space="preserve">bottom water and
</t>
    </r>
    <r>
      <rPr>
        <i/>
        <sz val="11"/>
        <rFont val="Times New Roman"/>
        <charset val="134"/>
      </rPr>
      <t xml:space="preserve">G. affinis </t>
    </r>
    <r>
      <rPr>
        <sz val="11"/>
        <rFont val="Times New Roman"/>
        <charset val="134"/>
      </rPr>
      <t>(live)</t>
    </r>
  </si>
  <si>
    <r>
      <rPr>
        <sz val="11"/>
        <rFont val="Times New Roman"/>
        <charset val="134"/>
      </rPr>
      <t>PSII-BC227</t>
    </r>
  </si>
  <si>
    <r>
      <rPr>
        <sz val="11"/>
        <rFont val="Times New Roman"/>
        <charset val="134"/>
      </rPr>
      <t xml:space="preserve">bottom water and
</t>
    </r>
    <r>
      <rPr>
        <i/>
        <sz val="11"/>
        <rFont val="Times New Roman"/>
        <charset val="134"/>
      </rPr>
      <t xml:space="preserve">G. pacifica </t>
    </r>
    <r>
      <rPr>
        <sz val="11"/>
        <rFont val="Times New Roman"/>
        <charset val="134"/>
      </rPr>
      <t>(live)</t>
    </r>
  </si>
  <si>
    <r>
      <rPr>
        <sz val="11"/>
        <rFont val="Times New Roman"/>
        <charset val="134"/>
      </rPr>
      <t>Station I</t>
    </r>
  </si>
  <si>
    <r>
      <rPr>
        <sz val="11"/>
        <rFont val="Times New Roman"/>
        <charset val="134"/>
      </rPr>
      <t>Fontanier et al. (2008)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</si>
</sst>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3">
    <font>
      <sz val="11"/>
      <color theme="1"/>
      <name val="宋体"/>
      <charset val="134"/>
      <scheme val="minor"/>
    </font>
    <font>
      <sz val="10"/>
      <name val="Times New Roman"/>
      <charset val="134"/>
    </font>
    <font>
      <sz val="11"/>
      <name val="Times New Roman"/>
      <charset val="134"/>
    </font>
    <font>
      <b/>
      <sz val="9"/>
      <name val="Times New Roman"/>
      <charset val="134"/>
    </font>
    <font>
      <sz val="11"/>
      <color theme="1"/>
      <name val="Times New Roman"/>
      <charset val="134"/>
    </font>
    <font>
      <i/>
      <sz val="10"/>
      <name val="Times New Roman"/>
      <charset val="204"/>
    </font>
    <font>
      <sz val="10"/>
      <color rgb="FF000000"/>
      <name val="Times New Roman"/>
      <charset val="204"/>
    </font>
    <font>
      <sz val="11"/>
      <color rgb="FF000000"/>
      <name val="Times New Roman"/>
      <charset val="134"/>
    </font>
    <font>
      <sz val="11"/>
      <name val="Times New Roman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imes New Roman"/>
      <charset val="134"/>
    </font>
    <font>
      <i/>
      <sz val="11"/>
      <name val="Times New Roman"/>
      <charset val="134"/>
    </font>
    <font>
      <i/>
      <sz val="11"/>
      <name val="Times New Roman"/>
      <charset val="204"/>
    </font>
    <font>
      <sz val="11"/>
      <name val="Symbol"/>
      <charset val="134"/>
    </font>
    <font>
      <vertAlign val="superscript"/>
      <sz val="11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9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top" wrapText="1"/>
    </xf>
    <xf numFmtId="0" fontId="1" fillId="0" borderId="2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top" wrapText="1"/>
    </xf>
    <xf numFmtId="0" fontId="1" fillId="0" borderId="6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/>
    <xf numFmtId="0" fontId="4" fillId="0" borderId="1" xfId="0" applyFont="1" applyFill="1" applyBorder="1" applyAlignment="1"/>
    <xf numFmtId="0" fontId="6" fillId="0" borderId="1" xfId="0" applyFont="1" applyFill="1" applyBorder="1" applyAlignment="1">
      <alignment horizontal="center" wrapText="1"/>
    </xf>
    <xf numFmtId="2" fontId="4" fillId="0" borderId="1" xfId="0" applyNumberFormat="1" applyFont="1" applyFill="1" applyBorder="1" applyAlignment="1"/>
    <xf numFmtId="0" fontId="5" fillId="2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1" fontId="7" fillId="0" borderId="7" xfId="0" applyNumberFormat="1" applyFont="1" applyFill="1" applyBorder="1" applyAlignment="1">
      <alignment horizontal="left" vertical="top" shrinkToFit="1"/>
    </xf>
    <xf numFmtId="0" fontId="0" fillId="0" borderId="0" xfId="0" applyFill="1" applyAlignment="1">
      <alignment vertical="center"/>
    </xf>
    <xf numFmtId="0" fontId="8" fillId="3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1" fontId="7" fillId="0" borderId="9" xfId="0" applyNumberFormat="1" applyFont="1" applyFill="1" applyBorder="1" applyAlignment="1">
      <alignment horizontal="left" vertical="top" shrinkToFit="1"/>
    </xf>
    <xf numFmtId="0" fontId="6" fillId="3" borderId="9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2" fontId="7" fillId="0" borderId="9" xfId="0" applyNumberFormat="1" applyFont="1" applyFill="1" applyBorder="1" applyAlignment="1">
      <alignment horizontal="left" shrinkToFit="1"/>
    </xf>
    <xf numFmtId="0" fontId="8" fillId="0" borderId="9" xfId="0" applyFont="1" applyFill="1" applyBorder="1" applyAlignment="1">
      <alignment horizontal="left" vertical="top" wrapText="1"/>
    </xf>
    <xf numFmtId="2" fontId="7" fillId="0" borderId="9" xfId="0" applyNumberFormat="1" applyFont="1" applyFill="1" applyBorder="1" applyAlignment="1">
      <alignment horizontal="left" vertical="top" shrinkToFit="1"/>
    </xf>
    <xf numFmtId="1" fontId="7" fillId="0" borderId="9" xfId="0" applyNumberFormat="1" applyFont="1" applyFill="1" applyBorder="1" applyAlignment="1">
      <alignment horizontal="left" vertical="center" shrinkToFit="1"/>
    </xf>
    <xf numFmtId="176" fontId="7" fillId="0" borderId="9" xfId="0" applyNumberFormat="1" applyFont="1" applyFill="1" applyBorder="1" applyAlignment="1">
      <alignment horizontal="left" vertical="top" shrinkToFit="1"/>
    </xf>
    <xf numFmtId="0" fontId="2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left" vertical="top" wrapText="1"/>
    </xf>
    <xf numFmtId="0" fontId="1" fillId="4" borderId="2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left" vertical="top" wrapText="1"/>
    </xf>
    <xf numFmtId="0" fontId="1" fillId="5" borderId="2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176" fontId="4" fillId="4" borderId="1" xfId="0" applyNumberFormat="1" applyFont="1" applyFill="1" applyBorder="1" applyAlignment="1"/>
    <xf numFmtId="0" fontId="4" fillId="4" borderId="1" xfId="0" applyFont="1" applyFill="1" applyBorder="1" applyAlignment="1"/>
    <xf numFmtId="0" fontId="6" fillId="4" borderId="1" xfId="0" applyFont="1" applyFill="1" applyBorder="1" applyAlignment="1">
      <alignment horizontal="center" wrapText="1"/>
    </xf>
    <xf numFmtId="2" fontId="4" fillId="4" borderId="1" xfId="0" applyNumberFormat="1" applyFont="1" applyFill="1" applyBorder="1" applyAlignment="1"/>
    <xf numFmtId="0" fontId="5" fillId="4" borderId="1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3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tabSelected="1" zoomScale="91" zoomScaleNormal="91" topLeftCell="F30" workbookViewId="0">
      <selection activeCell="F19" sqref="$A19:$XFD19"/>
    </sheetView>
  </sheetViews>
  <sheetFormatPr defaultColWidth="8.88888888888889" defaultRowHeight="14.4"/>
  <cols>
    <col min="1" max="1" width="8.88888888888889" style="25"/>
    <col min="2" max="2" width="25.4444444444444" style="25" customWidth="1"/>
    <col min="3" max="5" width="8.88888888888889" style="25"/>
    <col min="6" max="6" width="14.5555555555556" style="25" customWidth="1"/>
    <col min="7" max="7" width="12.1111111111111" style="25" customWidth="1"/>
    <col min="8" max="8" width="15.4444444444444" style="25" customWidth="1"/>
    <col min="9" max="9" width="16.3333333333333" style="25" customWidth="1"/>
    <col min="10" max="10" width="14.7777777777778" style="25" customWidth="1"/>
    <col min="11" max="11" width="16.6666666666667" style="25" customWidth="1"/>
    <col min="12" max="12" width="36.8888888888889" style="25" customWidth="1"/>
    <col min="13" max="13" width="30.5740740740741" style="25" customWidth="1"/>
    <col min="14" max="17" width="8.88888888888889" style="40"/>
    <col min="18" max="20" width="8.88888888888889" style="41"/>
    <col min="21" max="16384" width="8.88888888888889" style="25"/>
  </cols>
  <sheetData>
    <row r="1" s="25" customFormat="1" ht="27.6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</row>
    <row r="2" s="25" customFormat="1" ht="29" customHeight="1" spans="1:20">
      <c r="A2" s="1" t="s">
        <v>20</v>
      </c>
      <c r="B2" s="1" t="s">
        <v>21</v>
      </c>
      <c r="C2" s="1">
        <v>14.6</v>
      </c>
      <c r="D2" s="1">
        <v>52.9</v>
      </c>
      <c r="E2" s="1">
        <v>1803</v>
      </c>
      <c r="F2" s="1">
        <v>82.19</v>
      </c>
      <c r="G2" s="1">
        <v>1.12</v>
      </c>
      <c r="H2" s="1" t="s">
        <v>22</v>
      </c>
      <c r="I2" s="1" t="s">
        <v>23</v>
      </c>
      <c r="J2" s="1">
        <v>0.96</v>
      </c>
      <c r="K2" s="1">
        <v>0.23</v>
      </c>
      <c r="L2" s="8" t="s">
        <v>24</v>
      </c>
      <c r="M2" s="9" t="s">
        <v>25</v>
      </c>
      <c r="N2" s="7">
        <v>37.254</v>
      </c>
      <c r="O2" s="10">
        <v>2.772</v>
      </c>
      <c r="P2" s="10"/>
      <c r="Q2" s="11"/>
      <c r="R2" s="7"/>
      <c r="S2" s="7"/>
      <c r="T2" s="7"/>
    </row>
    <row r="3" s="25" customFormat="1" ht="26.4" spans="1:20">
      <c r="A3" s="1" t="s">
        <v>26</v>
      </c>
      <c r="B3" s="1" t="s">
        <v>27</v>
      </c>
      <c r="C3" s="1">
        <v>7.59</v>
      </c>
      <c r="D3" s="1">
        <v>-53.92</v>
      </c>
      <c r="E3" s="1">
        <v>383</v>
      </c>
      <c r="F3" s="1">
        <v>119.73</v>
      </c>
      <c r="G3" s="1">
        <v>3.51</v>
      </c>
      <c r="H3" s="1" t="s">
        <v>28</v>
      </c>
      <c r="I3" s="1" t="s">
        <v>23</v>
      </c>
      <c r="J3" s="1">
        <v>0.87</v>
      </c>
      <c r="K3" s="1">
        <v>0.32</v>
      </c>
      <c r="L3" s="8" t="s">
        <v>24</v>
      </c>
      <c r="M3" s="9" t="s">
        <v>29</v>
      </c>
      <c r="N3" s="10"/>
      <c r="O3" s="10"/>
      <c r="P3" s="10"/>
      <c r="Q3" s="11"/>
      <c r="R3" s="7"/>
      <c r="S3" s="7"/>
      <c r="T3" s="7"/>
    </row>
    <row r="4" s="25" customFormat="1" ht="26.4" spans="1:20">
      <c r="A4" s="1" t="s">
        <v>26</v>
      </c>
      <c r="B4" s="1" t="s">
        <v>30</v>
      </c>
      <c r="C4" s="1">
        <v>7.66</v>
      </c>
      <c r="D4" s="1">
        <v>-53.82</v>
      </c>
      <c r="E4" s="1">
        <v>556</v>
      </c>
      <c r="F4" s="1">
        <v>120.55</v>
      </c>
      <c r="G4" s="1">
        <v>3.49</v>
      </c>
      <c r="H4" s="1" t="s">
        <v>28</v>
      </c>
      <c r="I4" s="1" t="s">
        <v>23</v>
      </c>
      <c r="J4" s="1">
        <v>1.12</v>
      </c>
      <c r="K4" s="1">
        <v>0.32</v>
      </c>
      <c r="L4" s="8" t="s">
        <v>24</v>
      </c>
      <c r="M4" s="9" t="s">
        <v>29</v>
      </c>
      <c r="N4" s="10"/>
      <c r="O4" s="10"/>
      <c r="P4" s="10"/>
      <c r="Q4" s="11"/>
      <c r="R4" s="7"/>
      <c r="S4" s="7"/>
      <c r="T4" s="7"/>
    </row>
    <row r="5" s="25" customFormat="1" ht="26.4" spans="1:20">
      <c r="A5" s="1" t="s">
        <v>26</v>
      </c>
      <c r="B5" s="1" t="s">
        <v>31</v>
      </c>
      <c r="C5" s="1">
        <v>7.72</v>
      </c>
      <c r="D5" s="1">
        <v>-53.78</v>
      </c>
      <c r="E5" s="1">
        <v>704</v>
      </c>
      <c r="F5" s="1">
        <v>128.92</v>
      </c>
      <c r="G5" s="1">
        <v>1.45</v>
      </c>
      <c r="H5" s="1" t="s">
        <v>28</v>
      </c>
      <c r="I5" s="1" t="s">
        <v>23</v>
      </c>
      <c r="J5" s="1">
        <v>1.24</v>
      </c>
      <c r="K5" s="1">
        <v>0.32</v>
      </c>
      <c r="L5" s="8" t="s">
        <v>24</v>
      </c>
      <c r="M5" s="9" t="s">
        <v>29</v>
      </c>
      <c r="N5" s="10"/>
      <c r="O5" s="10"/>
      <c r="P5" s="10"/>
      <c r="Q5" s="11"/>
      <c r="R5" s="7"/>
      <c r="S5" s="7"/>
      <c r="T5" s="7"/>
    </row>
    <row r="6" s="25" customFormat="1" ht="26.4" spans="1:20">
      <c r="A6" s="1" t="s">
        <v>26</v>
      </c>
      <c r="B6" s="1" t="s">
        <v>32</v>
      </c>
      <c r="C6" s="1">
        <v>7.84</v>
      </c>
      <c r="D6" s="1">
        <v>-53.67</v>
      </c>
      <c r="E6" s="1">
        <v>962</v>
      </c>
      <c r="F6" s="1">
        <v>150.18</v>
      </c>
      <c r="G6" s="1">
        <v>0.81</v>
      </c>
      <c r="H6" s="1" t="s">
        <v>28</v>
      </c>
      <c r="I6" s="1" t="s">
        <v>23</v>
      </c>
      <c r="J6" s="1">
        <v>1.46</v>
      </c>
      <c r="K6" s="1">
        <v>0.32</v>
      </c>
      <c r="L6" s="8" t="s">
        <v>24</v>
      </c>
      <c r="M6" s="9" t="s">
        <v>29</v>
      </c>
      <c r="N6" s="10"/>
      <c r="O6" s="10"/>
      <c r="P6" s="10"/>
      <c r="Q6" s="11"/>
      <c r="R6" s="7"/>
      <c r="S6" s="7"/>
      <c r="T6" s="7"/>
    </row>
    <row r="7" s="25" customFormat="1" ht="26.4" spans="1:20">
      <c r="A7" s="1" t="s">
        <v>26</v>
      </c>
      <c r="B7" s="1" t="s">
        <v>33</v>
      </c>
      <c r="C7" s="1">
        <v>7.44</v>
      </c>
      <c r="D7" s="1">
        <v>-52.76</v>
      </c>
      <c r="E7" s="1">
        <v>1029</v>
      </c>
      <c r="F7" s="1">
        <v>155.4</v>
      </c>
      <c r="G7" s="1">
        <v>3.74</v>
      </c>
      <c r="H7" s="1" t="s">
        <v>28</v>
      </c>
      <c r="I7" s="1" t="s">
        <v>23</v>
      </c>
      <c r="J7" s="1">
        <v>1.64</v>
      </c>
      <c r="K7" s="1">
        <v>0.32</v>
      </c>
      <c r="L7" s="8" t="s">
        <v>24</v>
      </c>
      <c r="M7" s="9" t="s">
        <v>29</v>
      </c>
      <c r="N7" s="7">
        <v>30.959</v>
      </c>
      <c r="O7" s="10">
        <v>2.087</v>
      </c>
      <c r="P7" s="10"/>
      <c r="Q7" s="11"/>
      <c r="R7" s="7"/>
      <c r="S7" s="7"/>
      <c r="T7" s="7"/>
    </row>
    <row r="8" s="25" customFormat="1" ht="26.4" spans="1:20">
      <c r="A8" s="1" t="s">
        <v>26</v>
      </c>
      <c r="B8" s="1" t="s">
        <v>34</v>
      </c>
      <c r="C8" s="1">
        <v>7.94</v>
      </c>
      <c r="D8" s="1">
        <v>-53.58</v>
      </c>
      <c r="E8" s="1">
        <v>1107</v>
      </c>
      <c r="F8" s="1">
        <v>172.58</v>
      </c>
      <c r="G8" s="1">
        <v>0.99</v>
      </c>
      <c r="H8" s="1" t="s">
        <v>28</v>
      </c>
      <c r="I8" s="1" t="s">
        <v>23</v>
      </c>
      <c r="J8" s="1">
        <v>1.68</v>
      </c>
      <c r="K8" s="1">
        <v>0.32</v>
      </c>
      <c r="L8" s="8" t="s">
        <v>24</v>
      </c>
      <c r="M8" s="9" t="s">
        <v>29</v>
      </c>
      <c r="N8" s="10"/>
      <c r="O8" s="10"/>
      <c r="P8" s="10"/>
      <c r="Q8" s="11"/>
      <c r="R8" s="7"/>
      <c r="S8" s="7"/>
      <c r="T8" s="7"/>
    </row>
    <row r="9" s="25" customFormat="1" ht="26.4" spans="1:20">
      <c r="A9" s="1" t="s">
        <v>26</v>
      </c>
      <c r="B9" s="1" t="s">
        <v>35</v>
      </c>
      <c r="C9" s="1">
        <v>8.25</v>
      </c>
      <c r="D9" s="1">
        <v>-53.24</v>
      </c>
      <c r="E9" s="1">
        <v>1275</v>
      </c>
      <c r="F9" s="1">
        <v>199.2</v>
      </c>
      <c r="G9" s="1">
        <v>2.26</v>
      </c>
      <c r="H9" s="1" t="s">
        <v>28</v>
      </c>
      <c r="I9" s="1" t="s">
        <v>23</v>
      </c>
      <c r="J9" s="1">
        <v>1.73</v>
      </c>
      <c r="K9" s="1">
        <v>0.32</v>
      </c>
      <c r="L9" s="8" t="s">
        <v>24</v>
      </c>
      <c r="M9" s="9" t="s">
        <v>29</v>
      </c>
      <c r="N9" s="7">
        <v>23.812</v>
      </c>
      <c r="O9" s="10">
        <v>1.576</v>
      </c>
      <c r="P9" s="10"/>
      <c r="Q9" s="11"/>
      <c r="R9" s="7"/>
      <c r="S9" s="7"/>
      <c r="T9" s="7"/>
    </row>
    <row r="10" s="25" customFormat="1" ht="26.4" spans="1:20">
      <c r="A10" s="1" t="s">
        <v>26</v>
      </c>
      <c r="B10" s="1" t="s">
        <v>36</v>
      </c>
      <c r="C10" s="1">
        <v>37.86</v>
      </c>
      <c r="D10" s="1">
        <v>-9.34</v>
      </c>
      <c r="E10" s="1">
        <v>628</v>
      </c>
      <c r="F10" s="1">
        <v>190.53</v>
      </c>
      <c r="G10" s="1">
        <v>5.89</v>
      </c>
      <c r="H10" s="1" t="s">
        <v>37</v>
      </c>
      <c r="I10" s="1" t="s">
        <v>23</v>
      </c>
      <c r="J10" s="1">
        <v>1.84</v>
      </c>
      <c r="K10" s="1">
        <v>0.14</v>
      </c>
      <c r="L10" s="8" t="s">
        <v>24</v>
      </c>
      <c r="M10" s="9" t="s">
        <v>38</v>
      </c>
      <c r="N10" s="7">
        <v>14.796</v>
      </c>
      <c r="O10" s="10">
        <v>0.821</v>
      </c>
      <c r="P10" s="10"/>
      <c r="Q10" s="11"/>
      <c r="R10" s="7"/>
      <c r="S10" s="7"/>
      <c r="T10" s="7"/>
    </row>
    <row r="11" s="25" customFormat="1" ht="26.4" spans="1:20">
      <c r="A11" s="1" t="s">
        <v>26</v>
      </c>
      <c r="B11" s="1" t="s">
        <v>39</v>
      </c>
      <c r="C11" s="1">
        <v>37.84</v>
      </c>
      <c r="D11" s="1">
        <v>-9.51</v>
      </c>
      <c r="E11" s="1">
        <v>1127</v>
      </c>
      <c r="F11" s="1">
        <v>187.96</v>
      </c>
      <c r="G11" s="1">
        <v>1.18</v>
      </c>
      <c r="H11" s="1" t="s">
        <v>37</v>
      </c>
      <c r="I11" s="1" t="s">
        <v>23</v>
      </c>
      <c r="J11" s="1">
        <v>1.65</v>
      </c>
      <c r="K11" s="1">
        <v>0.14</v>
      </c>
      <c r="L11" s="8" t="s">
        <v>24</v>
      </c>
      <c r="M11" s="9" t="s">
        <v>38</v>
      </c>
      <c r="N11" s="7">
        <v>14.926</v>
      </c>
      <c r="O11" s="10">
        <v>0.881</v>
      </c>
      <c r="P11" s="10"/>
      <c r="Q11" s="11"/>
      <c r="R11" s="7"/>
      <c r="S11" s="7"/>
      <c r="T11" s="7"/>
    </row>
    <row r="12" s="25" customFormat="1" ht="26.4" spans="1:20">
      <c r="A12" s="1" t="s">
        <v>26</v>
      </c>
      <c r="B12" s="1" t="s">
        <v>40</v>
      </c>
      <c r="C12" s="1">
        <v>37.94</v>
      </c>
      <c r="D12" s="1">
        <v>-9.59</v>
      </c>
      <c r="E12" s="1">
        <v>1448</v>
      </c>
      <c r="F12" s="1">
        <v>178.13</v>
      </c>
      <c r="G12" s="1">
        <v>32.35</v>
      </c>
      <c r="H12" s="1" t="s">
        <v>37</v>
      </c>
      <c r="I12" s="1" t="s">
        <v>23</v>
      </c>
      <c r="J12" s="1">
        <v>2.29</v>
      </c>
      <c r="K12" s="1">
        <v>0.14</v>
      </c>
      <c r="L12" s="8" t="s">
        <v>24</v>
      </c>
      <c r="M12" s="9" t="s">
        <v>38</v>
      </c>
      <c r="N12" s="7">
        <v>16.365</v>
      </c>
      <c r="O12" s="10">
        <v>0.974</v>
      </c>
      <c r="P12" s="10"/>
      <c r="Q12" s="11"/>
      <c r="R12" s="7"/>
      <c r="S12" s="7"/>
      <c r="T12" s="7"/>
    </row>
    <row r="13" s="25" customFormat="1" ht="26.4" spans="1:20">
      <c r="A13" s="42" t="s">
        <v>26</v>
      </c>
      <c r="B13" s="42" t="s">
        <v>41</v>
      </c>
      <c r="C13" s="42">
        <v>37.83</v>
      </c>
      <c r="D13" s="42">
        <v>-9.82</v>
      </c>
      <c r="E13" s="42">
        <v>2323</v>
      </c>
      <c r="F13" s="42">
        <v>194.69</v>
      </c>
      <c r="G13" s="42">
        <v>24.12</v>
      </c>
      <c r="H13" s="42" t="s">
        <v>37</v>
      </c>
      <c r="I13" s="42" t="s">
        <v>23</v>
      </c>
      <c r="J13" s="42">
        <v>3.74</v>
      </c>
      <c r="K13" s="42">
        <v>0.14</v>
      </c>
      <c r="L13" s="43" t="s">
        <v>24</v>
      </c>
      <c r="M13" s="44" t="s">
        <v>38</v>
      </c>
      <c r="N13" s="45"/>
      <c r="O13" s="45"/>
      <c r="P13" s="45"/>
      <c r="Q13" s="46"/>
      <c r="R13" s="7">
        <v>1</v>
      </c>
      <c r="S13" s="7"/>
      <c r="T13" s="7"/>
    </row>
    <row r="14" s="25" customFormat="1" ht="26.4" spans="1:20">
      <c r="A14" s="42" t="s">
        <v>26</v>
      </c>
      <c r="B14" s="42" t="s">
        <v>42</v>
      </c>
      <c r="C14" s="42">
        <v>37.78</v>
      </c>
      <c r="D14" s="42">
        <v>-10.05</v>
      </c>
      <c r="E14" s="42">
        <v>2619</v>
      </c>
      <c r="F14" s="42">
        <v>193.31</v>
      </c>
      <c r="G14" s="42">
        <v>22.79</v>
      </c>
      <c r="H14" s="42" t="s">
        <v>37</v>
      </c>
      <c r="I14" s="42" t="s">
        <v>23</v>
      </c>
      <c r="J14" s="42">
        <v>3.25</v>
      </c>
      <c r="K14" s="42">
        <v>0.14</v>
      </c>
      <c r="L14" s="43" t="s">
        <v>24</v>
      </c>
      <c r="M14" s="44" t="s">
        <v>38</v>
      </c>
      <c r="N14" s="45">
        <v>20.095</v>
      </c>
      <c r="O14" s="45">
        <v>1.339</v>
      </c>
      <c r="P14" s="45"/>
      <c r="Q14" s="46"/>
      <c r="R14" s="7">
        <v>1</v>
      </c>
      <c r="S14" s="7"/>
      <c r="T14" s="7"/>
    </row>
    <row r="15" s="25" customFormat="1" ht="26.4" spans="1:20">
      <c r="A15" s="47" t="s">
        <v>26</v>
      </c>
      <c r="B15" s="47" t="s">
        <v>43</v>
      </c>
      <c r="C15" s="47">
        <v>37.56</v>
      </c>
      <c r="D15" s="47">
        <v>-10.14</v>
      </c>
      <c r="E15" s="47">
        <v>2645</v>
      </c>
      <c r="F15" s="47">
        <v>194.17</v>
      </c>
      <c r="G15" s="47">
        <v>21.88</v>
      </c>
      <c r="H15" s="47" t="s">
        <v>37</v>
      </c>
      <c r="I15" s="47" t="s">
        <v>23</v>
      </c>
      <c r="J15" s="47">
        <v>2.72</v>
      </c>
      <c r="K15" s="47">
        <v>0.14</v>
      </c>
      <c r="L15" s="48" t="s">
        <v>24</v>
      </c>
      <c r="M15" s="49" t="s">
        <v>38</v>
      </c>
      <c r="N15" s="50">
        <v>20.095</v>
      </c>
      <c r="O15" s="50">
        <v>1.339</v>
      </c>
      <c r="P15" s="50"/>
      <c r="Q15" s="51"/>
      <c r="R15" s="7">
        <v>1</v>
      </c>
      <c r="S15" s="7"/>
      <c r="T15" s="7"/>
    </row>
    <row r="16" s="25" customFormat="1" ht="26.4" spans="1:20">
      <c r="A16" s="1" t="s">
        <v>26</v>
      </c>
      <c r="B16" s="1" t="s">
        <v>44</v>
      </c>
      <c r="C16" s="1">
        <v>-21.1</v>
      </c>
      <c r="D16" s="1">
        <v>11.8</v>
      </c>
      <c r="E16" s="1">
        <v>1283</v>
      </c>
      <c r="F16" s="1">
        <v>182.36</v>
      </c>
      <c r="G16" s="1">
        <v>3.2</v>
      </c>
      <c r="H16" s="1" t="s">
        <v>22</v>
      </c>
      <c r="I16" s="1" t="s">
        <v>45</v>
      </c>
      <c r="J16" s="1">
        <v>1.75</v>
      </c>
      <c r="K16" s="1">
        <v>0.23</v>
      </c>
      <c r="L16" s="8" t="s">
        <v>24</v>
      </c>
      <c r="M16" s="9" t="s">
        <v>46</v>
      </c>
      <c r="N16" s="10">
        <v>30.273</v>
      </c>
      <c r="O16" s="10">
        <v>1.936</v>
      </c>
      <c r="P16" s="10">
        <v>4.9</v>
      </c>
      <c r="Q16" s="11">
        <v>52.6</v>
      </c>
      <c r="R16" s="7"/>
      <c r="S16" s="7"/>
      <c r="T16" s="7"/>
    </row>
    <row r="17" s="25" customFormat="1" ht="26.4" spans="1:20">
      <c r="A17" s="1" t="s">
        <v>26</v>
      </c>
      <c r="B17" s="1" t="s">
        <v>47</v>
      </c>
      <c r="C17" s="1">
        <v>-22.7</v>
      </c>
      <c r="D17" s="1">
        <v>12.6</v>
      </c>
      <c r="E17" s="1">
        <v>1313</v>
      </c>
      <c r="F17" s="1">
        <v>184.13</v>
      </c>
      <c r="G17" s="1">
        <v>3.11</v>
      </c>
      <c r="H17" s="1" t="s">
        <v>22</v>
      </c>
      <c r="I17" s="1" t="s">
        <v>45</v>
      </c>
      <c r="J17" s="1">
        <v>1.79</v>
      </c>
      <c r="K17" s="1">
        <v>0.23</v>
      </c>
      <c r="L17" s="8" t="s">
        <v>24</v>
      </c>
      <c r="M17" s="9" t="s">
        <v>46</v>
      </c>
      <c r="N17" s="10">
        <v>28.846</v>
      </c>
      <c r="O17" s="10">
        <v>1.978</v>
      </c>
      <c r="P17" s="10">
        <v>3.74</v>
      </c>
      <c r="Q17" s="11">
        <v>55.2</v>
      </c>
      <c r="R17" s="7"/>
      <c r="S17" s="7"/>
      <c r="T17" s="7"/>
    </row>
    <row r="18" s="25" customFormat="1" ht="26.4" spans="1:20">
      <c r="A18" s="1" t="s">
        <v>26</v>
      </c>
      <c r="B18" s="1" t="s">
        <v>40</v>
      </c>
      <c r="C18" s="1">
        <v>37.94</v>
      </c>
      <c r="D18" s="1">
        <v>-9.59</v>
      </c>
      <c r="E18" s="1">
        <v>1448</v>
      </c>
      <c r="F18" s="1">
        <v>178.13</v>
      </c>
      <c r="G18" s="1">
        <v>32.35</v>
      </c>
      <c r="H18" s="1" t="s">
        <v>22</v>
      </c>
      <c r="I18" s="1" t="s">
        <v>23</v>
      </c>
      <c r="J18" s="1">
        <v>2.54</v>
      </c>
      <c r="K18" s="1">
        <v>0.23</v>
      </c>
      <c r="L18" s="8" t="s">
        <v>24</v>
      </c>
      <c r="M18" s="9" t="s">
        <v>38</v>
      </c>
      <c r="N18" s="10">
        <v>16.365</v>
      </c>
      <c r="O18" s="10">
        <v>0.974</v>
      </c>
      <c r="P18" s="10"/>
      <c r="Q18" s="11"/>
      <c r="R18" s="7"/>
      <c r="S18" s="7"/>
      <c r="T18" s="7"/>
    </row>
    <row r="19" s="25" customFormat="1" ht="26.4" spans="1:20">
      <c r="A19" s="1" t="s">
        <v>26</v>
      </c>
      <c r="B19" s="1" t="s">
        <v>48</v>
      </c>
      <c r="C19" s="1">
        <v>-25.47</v>
      </c>
      <c r="D19" s="1">
        <v>13.08</v>
      </c>
      <c r="E19" s="1">
        <v>1785</v>
      </c>
      <c r="F19" s="1">
        <v>212.93</v>
      </c>
      <c r="G19" s="1">
        <v>1.57</v>
      </c>
      <c r="H19" s="1" t="s">
        <v>22</v>
      </c>
      <c r="I19" s="1" t="s">
        <v>49</v>
      </c>
      <c r="J19" s="1">
        <v>1.9</v>
      </c>
      <c r="K19" s="1">
        <v>0.23</v>
      </c>
      <c r="L19" s="8" t="s">
        <v>24</v>
      </c>
      <c r="M19" s="9" t="s">
        <v>50</v>
      </c>
      <c r="N19" s="10"/>
      <c r="O19" s="10"/>
      <c r="P19" s="10">
        <v>6.35</v>
      </c>
      <c r="Q19" s="11">
        <v>62.7</v>
      </c>
      <c r="R19" s="7"/>
      <c r="S19" s="7"/>
      <c r="T19" s="7"/>
    </row>
    <row r="20" s="25" customFormat="1" ht="26.4" spans="1:20">
      <c r="A20" s="1" t="s">
        <v>26</v>
      </c>
      <c r="B20" s="1" t="s">
        <v>51</v>
      </c>
      <c r="C20" s="1">
        <v>-23.3</v>
      </c>
      <c r="D20" s="1">
        <v>12.4</v>
      </c>
      <c r="E20" s="1">
        <v>1980</v>
      </c>
      <c r="F20" s="1">
        <v>223.95</v>
      </c>
      <c r="G20" s="1">
        <v>2.77</v>
      </c>
      <c r="H20" s="1" t="s">
        <v>22</v>
      </c>
      <c r="I20" s="1" t="s">
        <v>45</v>
      </c>
      <c r="J20" s="1">
        <v>1.9</v>
      </c>
      <c r="K20" s="1">
        <v>0.23</v>
      </c>
      <c r="L20" s="8" t="s">
        <v>24</v>
      </c>
      <c r="M20" s="9" t="s">
        <v>46</v>
      </c>
      <c r="N20" s="10">
        <v>22.667</v>
      </c>
      <c r="O20" s="10">
        <v>1.591</v>
      </c>
      <c r="P20" s="10">
        <v>2.05</v>
      </c>
      <c r="Q20" s="11">
        <v>76.4</v>
      </c>
      <c r="R20" s="7"/>
      <c r="S20" s="7"/>
      <c r="T20" s="7"/>
    </row>
    <row r="21" s="25" customFormat="1" ht="26.4" spans="1:20">
      <c r="A21" s="1" t="s">
        <v>26</v>
      </c>
      <c r="B21" s="1" t="s">
        <v>52</v>
      </c>
      <c r="C21" s="1">
        <v>8.38</v>
      </c>
      <c r="D21" s="1">
        <v>-53.05</v>
      </c>
      <c r="E21" s="1">
        <v>2052</v>
      </c>
      <c r="F21" s="1">
        <v>255.56</v>
      </c>
      <c r="G21" s="1">
        <v>0.9</v>
      </c>
      <c r="H21" s="1" t="s">
        <v>22</v>
      </c>
      <c r="I21" s="1" t="s">
        <v>23</v>
      </c>
      <c r="J21" s="1">
        <v>2.6</v>
      </c>
      <c r="K21" s="1">
        <v>0.23</v>
      </c>
      <c r="L21" s="8" t="s">
        <v>24</v>
      </c>
      <c r="M21" s="9" t="s">
        <v>29</v>
      </c>
      <c r="N21" s="10"/>
      <c r="O21" s="10"/>
      <c r="P21" s="10"/>
      <c r="Q21" s="11"/>
      <c r="R21" s="7"/>
      <c r="S21" s="7"/>
      <c r="T21" s="7"/>
    </row>
    <row r="22" s="25" customFormat="1" ht="26.4" spans="1:20">
      <c r="A22" s="1" t="s">
        <v>26</v>
      </c>
      <c r="B22" s="1" t="s">
        <v>53</v>
      </c>
      <c r="C22" s="1">
        <v>62.3</v>
      </c>
      <c r="D22" s="1">
        <v>-17.15</v>
      </c>
      <c r="E22" s="1">
        <v>2126</v>
      </c>
      <c r="F22" s="1">
        <v>278.86</v>
      </c>
      <c r="G22" s="1">
        <v>1.8</v>
      </c>
      <c r="H22" s="1" t="s">
        <v>22</v>
      </c>
      <c r="I22" s="1" t="s">
        <v>45</v>
      </c>
      <c r="J22" s="1">
        <v>3.13</v>
      </c>
      <c r="K22" s="1">
        <v>0.23</v>
      </c>
      <c r="L22" s="8" t="s">
        <v>24</v>
      </c>
      <c r="M22" s="9" t="s">
        <v>54</v>
      </c>
      <c r="N22" s="10"/>
      <c r="O22" s="10"/>
      <c r="P22" s="10"/>
      <c r="Q22" s="11"/>
      <c r="R22" s="7"/>
      <c r="S22" s="7"/>
      <c r="T22" s="7"/>
    </row>
    <row r="23" s="25" customFormat="1" ht="26.4" spans="1:20">
      <c r="A23" s="42" t="s">
        <v>26</v>
      </c>
      <c r="B23" s="42" t="s">
        <v>41</v>
      </c>
      <c r="C23" s="42">
        <v>37.83</v>
      </c>
      <c r="D23" s="42">
        <v>-9.82</v>
      </c>
      <c r="E23" s="42">
        <v>2323</v>
      </c>
      <c r="F23" s="42">
        <v>194.69</v>
      </c>
      <c r="G23" s="42">
        <v>24.12</v>
      </c>
      <c r="H23" s="42" t="s">
        <v>22</v>
      </c>
      <c r="I23" s="42" t="s">
        <v>23</v>
      </c>
      <c r="J23" s="42">
        <v>4.21</v>
      </c>
      <c r="K23" s="42">
        <v>0.23</v>
      </c>
      <c r="L23" s="43" t="s">
        <v>24</v>
      </c>
      <c r="M23" s="44" t="s">
        <v>38</v>
      </c>
      <c r="N23" s="45"/>
      <c r="O23" s="45"/>
      <c r="P23" s="45"/>
      <c r="Q23" s="46"/>
      <c r="R23" s="7">
        <v>1</v>
      </c>
      <c r="S23" s="7"/>
      <c r="T23" s="7"/>
    </row>
    <row r="24" s="25" customFormat="1" ht="26.4" spans="1:20">
      <c r="A24" s="1" t="s">
        <v>26</v>
      </c>
      <c r="B24" s="1" t="s">
        <v>55</v>
      </c>
      <c r="C24" s="1">
        <v>8.43</v>
      </c>
      <c r="D24" s="1">
        <v>-52.79</v>
      </c>
      <c r="E24" s="1">
        <v>2440</v>
      </c>
      <c r="F24" s="1">
        <v>257.02</v>
      </c>
      <c r="G24" s="1">
        <v>0.68</v>
      </c>
      <c r="H24" s="1" t="s">
        <v>22</v>
      </c>
      <c r="I24" s="1" t="s">
        <v>23</v>
      </c>
      <c r="J24" s="1">
        <v>2.9</v>
      </c>
      <c r="K24" s="1">
        <v>0.23</v>
      </c>
      <c r="L24" s="8" t="s">
        <v>24</v>
      </c>
      <c r="M24" s="9" t="s">
        <v>29</v>
      </c>
      <c r="N24" s="10">
        <v>18.285</v>
      </c>
      <c r="O24" s="10">
        <v>1.222</v>
      </c>
      <c r="P24" s="10"/>
      <c r="Q24" s="11"/>
      <c r="R24" s="7"/>
      <c r="S24" s="7"/>
      <c r="T24" s="7"/>
    </row>
    <row r="25" s="25" customFormat="1" ht="26.4" spans="1:20">
      <c r="A25" s="42" t="s">
        <v>26</v>
      </c>
      <c r="B25" s="42" t="s">
        <v>42</v>
      </c>
      <c r="C25" s="42">
        <v>37.78</v>
      </c>
      <c r="D25" s="42">
        <v>-10.05</v>
      </c>
      <c r="E25" s="42">
        <v>2619</v>
      </c>
      <c r="F25" s="42">
        <v>193.31</v>
      </c>
      <c r="G25" s="42">
        <v>22.79</v>
      </c>
      <c r="H25" s="42" t="s">
        <v>22</v>
      </c>
      <c r="I25" s="42" t="s">
        <v>23</v>
      </c>
      <c r="J25" s="42">
        <v>3.78</v>
      </c>
      <c r="K25" s="42">
        <v>0.23</v>
      </c>
      <c r="L25" s="43" t="s">
        <v>24</v>
      </c>
      <c r="M25" s="44" t="s">
        <v>38</v>
      </c>
      <c r="N25" s="45">
        <v>20.095</v>
      </c>
      <c r="O25" s="45">
        <v>1.339</v>
      </c>
      <c r="P25" s="45"/>
      <c r="Q25" s="46"/>
      <c r="R25" s="7">
        <v>1</v>
      </c>
      <c r="S25" s="7"/>
      <c r="T25" s="7"/>
    </row>
    <row r="26" s="25" customFormat="1" ht="26.4" spans="1:20">
      <c r="A26" s="42" t="s">
        <v>26</v>
      </c>
      <c r="B26" s="42" t="s">
        <v>43</v>
      </c>
      <c r="C26" s="42">
        <v>37.56</v>
      </c>
      <c r="D26" s="42">
        <f>-10.14</f>
        <v>-10.14</v>
      </c>
      <c r="E26" s="42">
        <v>2645</v>
      </c>
      <c r="F26" s="42">
        <v>194.17</v>
      </c>
      <c r="G26" s="42">
        <v>21.88</v>
      </c>
      <c r="H26" s="42" t="s">
        <v>22</v>
      </c>
      <c r="I26" s="42" t="s">
        <v>23</v>
      </c>
      <c r="J26" s="42">
        <v>3.28</v>
      </c>
      <c r="K26" s="42">
        <v>0.23</v>
      </c>
      <c r="L26" s="43" t="s">
        <v>24</v>
      </c>
      <c r="M26" s="44" t="s">
        <v>38</v>
      </c>
      <c r="N26" s="45">
        <v>20.095</v>
      </c>
      <c r="O26" s="45">
        <v>1.339</v>
      </c>
      <c r="P26" s="45"/>
      <c r="Q26" s="46"/>
      <c r="R26" s="7">
        <v>1</v>
      </c>
      <c r="S26" s="7"/>
      <c r="T26" s="7"/>
    </row>
    <row r="27" s="25" customFormat="1" ht="26.4" spans="1:20">
      <c r="A27" s="1" t="s">
        <v>26</v>
      </c>
      <c r="B27" s="1" t="s">
        <v>56</v>
      </c>
      <c r="C27" s="1">
        <v>8.47</v>
      </c>
      <c r="D27" s="1">
        <v>-52.79</v>
      </c>
      <c r="E27" s="1">
        <v>3328</v>
      </c>
      <c r="F27" s="1">
        <v>258.72</v>
      </c>
      <c r="G27" s="1">
        <v>0.2</v>
      </c>
      <c r="H27" s="1" t="s">
        <v>22</v>
      </c>
      <c r="I27" s="1" t="s">
        <v>23</v>
      </c>
      <c r="J27" s="1">
        <v>2.83</v>
      </c>
      <c r="K27" s="1">
        <v>0.23</v>
      </c>
      <c r="L27" s="8" t="s">
        <v>24</v>
      </c>
      <c r="M27" s="9" t="s">
        <v>29</v>
      </c>
      <c r="N27" s="10">
        <v>18.848</v>
      </c>
      <c r="O27" s="10">
        <v>1.296</v>
      </c>
      <c r="P27" s="10"/>
      <c r="Q27" s="11"/>
      <c r="R27" s="7"/>
      <c r="S27" s="7"/>
      <c r="T27" s="7"/>
    </row>
    <row r="28" s="25" customFormat="1" ht="26.4" spans="1:20">
      <c r="A28" s="1" t="s">
        <v>57</v>
      </c>
      <c r="B28" s="1" t="s">
        <v>58</v>
      </c>
      <c r="C28" s="1">
        <v>17.8</v>
      </c>
      <c r="D28" s="1">
        <v>57.5</v>
      </c>
      <c r="E28" s="1">
        <v>761</v>
      </c>
      <c r="F28" s="1">
        <v>8.46</v>
      </c>
      <c r="G28" s="1">
        <v>1.99</v>
      </c>
      <c r="H28" s="1" t="s">
        <v>59</v>
      </c>
      <c r="I28" s="1" t="s">
        <v>23</v>
      </c>
      <c r="J28" s="1">
        <v>0.63</v>
      </c>
      <c r="K28" s="1">
        <v>0.51</v>
      </c>
      <c r="L28" s="8" t="s">
        <v>24</v>
      </c>
      <c r="M28" s="9" t="s">
        <v>60</v>
      </c>
      <c r="N28" s="10">
        <v>32.623</v>
      </c>
      <c r="O28" s="10">
        <v>2.684</v>
      </c>
      <c r="P28" s="10"/>
      <c r="Q28" s="11"/>
      <c r="R28" s="7"/>
      <c r="S28" s="7"/>
      <c r="T28" s="7"/>
    </row>
    <row r="29" s="25" customFormat="1" ht="26.4" spans="1:20">
      <c r="A29" s="1" t="s">
        <v>61</v>
      </c>
      <c r="B29" s="1" t="s">
        <v>62</v>
      </c>
      <c r="C29" s="1">
        <v>7.86</v>
      </c>
      <c r="D29" s="1">
        <v>-83.61</v>
      </c>
      <c r="E29" s="1">
        <v>1364</v>
      </c>
      <c r="F29" s="1">
        <v>92.21</v>
      </c>
      <c r="G29" s="1">
        <v>5.11</v>
      </c>
      <c r="H29" s="1" t="s">
        <v>22</v>
      </c>
      <c r="I29" s="1" t="s">
        <v>63</v>
      </c>
      <c r="J29" s="1">
        <v>1.08</v>
      </c>
      <c r="K29" s="1">
        <v>0.23</v>
      </c>
      <c r="L29" s="8" t="s">
        <v>24</v>
      </c>
      <c r="M29" s="9" t="s">
        <v>54</v>
      </c>
      <c r="N29" s="10">
        <v>41.268</v>
      </c>
      <c r="O29" s="10">
        <v>3.02</v>
      </c>
      <c r="P29" s="10"/>
      <c r="Q29" s="11"/>
      <c r="R29" s="7"/>
      <c r="S29" s="7"/>
      <c r="T29" s="7"/>
    </row>
    <row r="30" s="25" customFormat="1" ht="26.4" spans="1:20">
      <c r="A30" s="1" t="s">
        <v>61</v>
      </c>
      <c r="B30" s="1" t="s">
        <v>64</v>
      </c>
      <c r="C30" s="1">
        <v>-1.65</v>
      </c>
      <c r="D30" s="1">
        <v>-88.45</v>
      </c>
      <c r="E30" s="1">
        <v>2650</v>
      </c>
      <c r="F30" s="1">
        <v>119.89</v>
      </c>
      <c r="G30" s="1">
        <v>2.98</v>
      </c>
      <c r="H30" s="1" t="s">
        <v>22</v>
      </c>
      <c r="I30" s="1" t="s">
        <v>23</v>
      </c>
      <c r="J30" s="1">
        <v>1.69</v>
      </c>
      <c r="K30" s="1">
        <v>0.23</v>
      </c>
      <c r="L30" s="8" t="s">
        <v>24</v>
      </c>
      <c r="M30" s="9" t="s">
        <v>54</v>
      </c>
      <c r="N30" s="10">
        <v>37.395</v>
      </c>
      <c r="O30" s="10">
        <v>2.787</v>
      </c>
      <c r="P30" s="10"/>
      <c r="Q30" s="11"/>
      <c r="R30" s="7"/>
      <c r="S30" s="7"/>
      <c r="T30" s="7"/>
    </row>
    <row r="31" s="25" customFormat="1" ht="26.4" spans="1:20">
      <c r="A31" s="1" t="s">
        <v>61</v>
      </c>
      <c r="B31" s="1" t="s">
        <v>65</v>
      </c>
      <c r="C31" s="1">
        <v>0.41</v>
      </c>
      <c r="D31" s="1">
        <v>-92.16</v>
      </c>
      <c r="E31" s="1">
        <v>2730</v>
      </c>
      <c r="F31" s="1">
        <v>120.09</v>
      </c>
      <c r="G31" s="1">
        <v>3.66</v>
      </c>
      <c r="H31" s="1" t="s">
        <v>22</v>
      </c>
      <c r="I31" s="1" t="s">
        <v>23</v>
      </c>
      <c r="J31" s="1">
        <v>1.78</v>
      </c>
      <c r="K31" s="1">
        <v>0.23</v>
      </c>
      <c r="L31" s="8" t="s">
        <v>24</v>
      </c>
      <c r="M31" s="9" t="s">
        <v>66</v>
      </c>
      <c r="N31" s="10">
        <v>37.438</v>
      </c>
      <c r="O31" s="10">
        <v>2.678</v>
      </c>
      <c r="P31" s="10"/>
      <c r="Q31" s="11"/>
      <c r="R31" s="7"/>
      <c r="S31" s="7"/>
      <c r="T31" s="7"/>
    </row>
    <row r="32" s="25" customFormat="1" ht="26.4" spans="1:20">
      <c r="A32" s="1" t="s">
        <v>61</v>
      </c>
      <c r="B32" s="1" t="s">
        <v>67</v>
      </c>
      <c r="C32" s="1">
        <v>0.02</v>
      </c>
      <c r="D32" s="1">
        <v>-86.46</v>
      </c>
      <c r="E32" s="1">
        <v>2921</v>
      </c>
      <c r="F32" s="1">
        <v>124.13</v>
      </c>
      <c r="G32" s="1">
        <v>1.65</v>
      </c>
      <c r="H32" s="1" t="s">
        <v>22</v>
      </c>
      <c r="I32" s="1" t="s">
        <v>23</v>
      </c>
      <c r="J32" s="1">
        <v>2.15</v>
      </c>
      <c r="K32" s="1">
        <v>0.23</v>
      </c>
      <c r="L32" s="8" t="s">
        <v>24</v>
      </c>
      <c r="M32" s="9" t="s">
        <v>68</v>
      </c>
      <c r="N32" s="10"/>
      <c r="O32" s="10"/>
      <c r="P32" s="10">
        <v>0.992</v>
      </c>
      <c r="Q32" s="11">
        <v>60.54</v>
      </c>
      <c r="R32" s="7"/>
      <c r="S32" s="7"/>
      <c r="T32" s="7"/>
    </row>
    <row r="33" s="25" customFormat="1" ht="26.4" spans="1:20">
      <c r="A33" s="1" t="s">
        <v>61</v>
      </c>
      <c r="B33" s="12" t="s">
        <v>69</v>
      </c>
      <c r="C33" s="12">
        <v>-3.09</v>
      </c>
      <c r="D33" s="12">
        <v>-90.82</v>
      </c>
      <c r="E33" s="12">
        <v>3295</v>
      </c>
      <c r="F33" s="12">
        <v>137.97</v>
      </c>
      <c r="G33" s="12">
        <v>2.31</v>
      </c>
      <c r="H33" s="12" t="s">
        <v>22</v>
      </c>
      <c r="I33" s="12" t="s">
        <v>23</v>
      </c>
      <c r="J33" s="12">
        <v>1.61</v>
      </c>
      <c r="K33" s="12">
        <v>0.23</v>
      </c>
      <c r="L33" s="13" t="s">
        <v>24</v>
      </c>
      <c r="M33" s="14" t="s">
        <v>68</v>
      </c>
      <c r="N33" s="10">
        <v>37.478</v>
      </c>
      <c r="O33" s="10">
        <v>2.729</v>
      </c>
      <c r="P33" s="10">
        <v>1.03</v>
      </c>
      <c r="Q33" s="11">
        <v>66</v>
      </c>
      <c r="R33" s="7"/>
      <c r="S33" s="7"/>
      <c r="T33" s="7"/>
    </row>
    <row r="34" s="25" customFormat="1" ht="26.4" spans="1:20">
      <c r="A34" s="42" t="s">
        <v>61</v>
      </c>
      <c r="B34" s="52" t="s">
        <v>70</v>
      </c>
      <c r="C34" s="53">
        <v>-3.582533</v>
      </c>
      <c r="D34" s="53">
        <v>-81.1645</v>
      </c>
      <c r="E34" s="54">
        <v>381</v>
      </c>
      <c r="F34" s="54">
        <v>14.85</v>
      </c>
      <c r="G34" s="55">
        <v>0.71</v>
      </c>
      <c r="H34" s="42" t="s">
        <v>22</v>
      </c>
      <c r="I34" s="42" t="s">
        <v>23</v>
      </c>
      <c r="J34" s="56">
        <v>1.886</v>
      </c>
      <c r="K34" s="56">
        <v>0.2</v>
      </c>
      <c r="L34" s="57" t="s">
        <v>24</v>
      </c>
      <c r="M34" s="42" t="s">
        <v>71</v>
      </c>
      <c r="N34" s="45">
        <v>32.477</v>
      </c>
      <c r="O34" s="45">
        <v>2.443</v>
      </c>
      <c r="P34" s="45"/>
      <c r="Q34" s="46"/>
      <c r="R34" s="7">
        <v>1</v>
      </c>
      <c r="S34" s="7"/>
      <c r="T34" s="7"/>
    </row>
    <row r="35" s="25" customFormat="1" ht="26.4" spans="1:20">
      <c r="A35" s="1" t="s">
        <v>61</v>
      </c>
      <c r="B35" s="15" t="s">
        <v>72</v>
      </c>
      <c r="C35" s="16">
        <v>-1.253017</v>
      </c>
      <c r="D35" s="16">
        <v>-89.68555</v>
      </c>
      <c r="E35" s="17">
        <v>615</v>
      </c>
      <c r="F35" s="17">
        <v>41.54</v>
      </c>
      <c r="G35" s="18">
        <v>3.59</v>
      </c>
      <c r="H35" s="1" t="s">
        <v>22</v>
      </c>
      <c r="I35" s="1" t="s">
        <v>23</v>
      </c>
      <c r="J35" s="19">
        <v>0.980214285714286</v>
      </c>
      <c r="K35" s="19">
        <v>0.198063301569401</v>
      </c>
      <c r="L35" s="20" t="s">
        <v>24</v>
      </c>
      <c r="M35" s="1" t="s">
        <v>71</v>
      </c>
      <c r="N35" s="10">
        <v>39.236</v>
      </c>
      <c r="O35" s="10">
        <v>2.924</v>
      </c>
      <c r="P35" s="10"/>
      <c r="Q35" s="11"/>
      <c r="R35" s="7"/>
      <c r="S35" s="7"/>
      <c r="T35" s="7"/>
    </row>
    <row r="36" s="25" customFormat="1" ht="26.4" spans="1:20">
      <c r="A36" s="1" t="s">
        <v>61</v>
      </c>
      <c r="B36" s="15" t="s">
        <v>73</v>
      </c>
      <c r="C36" s="16">
        <v>-3.8504</v>
      </c>
      <c r="D36" s="16">
        <v>-81.25</v>
      </c>
      <c r="E36" s="17">
        <v>689</v>
      </c>
      <c r="F36" s="17">
        <v>40.49</v>
      </c>
      <c r="G36" s="21">
        <v>0.64</v>
      </c>
      <c r="H36" s="1" t="s">
        <v>22</v>
      </c>
      <c r="I36" s="1" t="s">
        <v>23</v>
      </c>
      <c r="J36" s="19">
        <v>1.07466666666667</v>
      </c>
      <c r="K36" s="19">
        <v>0.0711500761302002</v>
      </c>
      <c r="L36" s="20" t="s">
        <v>24</v>
      </c>
      <c r="M36" s="1" t="s">
        <v>71</v>
      </c>
      <c r="N36" s="10">
        <v>42.422</v>
      </c>
      <c r="O36" s="10">
        <v>3.025</v>
      </c>
      <c r="P36" s="10"/>
      <c r="Q36" s="11"/>
      <c r="R36" s="7"/>
      <c r="S36" s="7"/>
      <c r="T36" s="7"/>
    </row>
    <row r="37" s="25" customFormat="1" ht="26.4" spans="1:20">
      <c r="A37" s="1" t="s">
        <v>61</v>
      </c>
      <c r="B37" s="15" t="s">
        <v>74</v>
      </c>
      <c r="C37" s="16">
        <v>-3.986617</v>
      </c>
      <c r="D37" s="16">
        <v>-81.3099</v>
      </c>
      <c r="E37" s="17">
        <v>1024</v>
      </c>
      <c r="F37" s="17">
        <v>60.09</v>
      </c>
      <c r="G37" s="21">
        <v>2.93</v>
      </c>
      <c r="H37" s="1" t="s">
        <v>22</v>
      </c>
      <c r="I37" s="1" t="s">
        <v>23</v>
      </c>
      <c r="J37" s="19">
        <v>0.893</v>
      </c>
      <c r="K37" s="19">
        <v>0.264552452266087</v>
      </c>
      <c r="L37" s="20" t="s">
        <v>24</v>
      </c>
      <c r="M37" s="1" t="s">
        <v>71</v>
      </c>
      <c r="N37" s="10">
        <v>43.556</v>
      </c>
      <c r="O37" s="10">
        <v>2.93</v>
      </c>
      <c r="P37" s="10"/>
      <c r="Q37" s="11"/>
      <c r="R37" s="7"/>
      <c r="S37" s="7"/>
      <c r="T37" s="7"/>
    </row>
    <row r="38" s="25" customFormat="1" ht="26.4" spans="1:20">
      <c r="A38" s="1" t="s">
        <v>61</v>
      </c>
      <c r="B38" s="15" t="s">
        <v>75</v>
      </c>
      <c r="C38" s="16">
        <v>-0.216133</v>
      </c>
      <c r="D38" s="16">
        <v>-89.504217</v>
      </c>
      <c r="E38" s="17">
        <v>1612</v>
      </c>
      <c r="F38" s="17">
        <v>76.85</v>
      </c>
      <c r="G38" s="21">
        <v>1.07</v>
      </c>
      <c r="H38" s="1" t="s">
        <v>22</v>
      </c>
      <c r="I38" s="1" t="s">
        <v>23</v>
      </c>
      <c r="J38" s="19">
        <v>1.25116666666667</v>
      </c>
      <c r="K38" s="19">
        <v>0.106092255450936</v>
      </c>
      <c r="L38" s="20" t="s">
        <v>24</v>
      </c>
      <c r="M38" s="1" t="s">
        <v>71</v>
      </c>
      <c r="N38" s="10"/>
      <c r="O38" s="10"/>
      <c r="P38" s="10"/>
      <c r="Q38" s="11"/>
      <c r="R38" s="7"/>
      <c r="S38" s="7"/>
      <c r="T38" s="7"/>
    </row>
    <row r="39" s="25" customFormat="1" ht="26.4" spans="1:20">
      <c r="A39" s="1" t="s">
        <v>61</v>
      </c>
      <c r="B39" s="15" t="s">
        <v>76</v>
      </c>
      <c r="C39" s="16">
        <v>-0.826</v>
      </c>
      <c r="D39" s="16">
        <v>-87.908167</v>
      </c>
      <c r="E39" s="17">
        <v>1563</v>
      </c>
      <c r="F39" s="17">
        <v>82.51</v>
      </c>
      <c r="G39" s="21">
        <v>0.8</v>
      </c>
      <c r="H39" s="1" t="s">
        <v>22</v>
      </c>
      <c r="I39" s="1" t="s">
        <v>23</v>
      </c>
      <c r="J39" s="19">
        <v>0.814833333333333</v>
      </c>
      <c r="K39" s="19">
        <v>0.10455508914762</v>
      </c>
      <c r="L39" s="20" t="s">
        <v>24</v>
      </c>
      <c r="M39" s="1" t="s">
        <v>71</v>
      </c>
      <c r="N39" s="10">
        <v>39.906</v>
      </c>
      <c r="O39" s="10">
        <v>2.905</v>
      </c>
      <c r="P39" s="10"/>
      <c r="Q39" s="11"/>
      <c r="R39" s="7"/>
      <c r="S39" s="7"/>
      <c r="T39" s="7"/>
    </row>
    <row r="40" s="25" customFormat="1" ht="26.4" spans="1:20">
      <c r="A40" s="1" t="s">
        <v>61</v>
      </c>
      <c r="B40" s="15" t="s">
        <v>77</v>
      </c>
      <c r="C40" s="16">
        <v>-3.223583</v>
      </c>
      <c r="D40" s="16">
        <v>-82.914167</v>
      </c>
      <c r="E40" s="17">
        <v>2949</v>
      </c>
      <c r="F40" s="17">
        <v>134</v>
      </c>
      <c r="G40" s="21">
        <v>3.6</v>
      </c>
      <c r="H40" s="1" t="s">
        <v>22</v>
      </c>
      <c r="I40" s="1" t="s">
        <v>23</v>
      </c>
      <c r="J40" s="19">
        <v>1.1865</v>
      </c>
      <c r="K40" s="19">
        <v>0.262607121000173</v>
      </c>
      <c r="L40" s="20" t="s">
        <v>24</v>
      </c>
      <c r="M40" s="1" t="s">
        <v>71</v>
      </c>
      <c r="N40" s="10">
        <v>38.119</v>
      </c>
      <c r="O40" s="10">
        <v>2.659</v>
      </c>
      <c r="P40" s="10"/>
      <c r="Q40" s="11"/>
      <c r="R40" s="7"/>
      <c r="S40" s="7"/>
      <c r="T40" s="7"/>
    </row>
    <row r="41" s="25" customFormat="1" ht="27.6" spans="1:20">
      <c r="A41" s="22" t="s">
        <v>78</v>
      </c>
      <c r="B41" s="23" t="s">
        <v>79</v>
      </c>
      <c r="C41" s="23">
        <v>41.5</v>
      </c>
      <c r="D41" s="23">
        <v>-64</v>
      </c>
      <c r="E41" s="24">
        <v>3000</v>
      </c>
      <c r="F41" s="22">
        <v>275</v>
      </c>
      <c r="G41" s="22">
        <v>2</v>
      </c>
      <c r="H41" s="58"/>
      <c r="I41" s="59"/>
      <c r="J41" s="22">
        <v>4.24</v>
      </c>
      <c r="K41" s="22">
        <v>0.33</v>
      </c>
      <c r="L41" s="26" t="s">
        <v>80</v>
      </c>
      <c r="M41" s="27" t="s">
        <v>81</v>
      </c>
      <c r="N41" s="10">
        <v>18.135</v>
      </c>
      <c r="O41" s="10">
        <v>1.164</v>
      </c>
      <c r="P41" s="10"/>
      <c r="Q41" s="11"/>
      <c r="R41" s="7"/>
      <c r="S41" s="7"/>
      <c r="T41" s="7"/>
    </row>
    <row r="42" s="25" customFormat="1" ht="27.6" spans="1:20">
      <c r="A42" s="28" t="s">
        <v>78</v>
      </c>
      <c r="B42" s="29" t="s">
        <v>82</v>
      </c>
      <c r="C42" s="29">
        <v>42</v>
      </c>
      <c r="D42" s="29">
        <v>-65</v>
      </c>
      <c r="E42" s="30">
        <v>1575</v>
      </c>
      <c r="F42" s="28">
        <v>270</v>
      </c>
      <c r="G42" s="28">
        <v>1</v>
      </c>
      <c r="H42" s="58"/>
      <c r="I42" s="59"/>
      <c r="J42" s="28">
        <v>3.62</v>
      </c>
      <c r="K42" s="28">
        <v>0.19</v>
      </c>
      <c r="L42" s="31" t="s">
        <v>83</v>
      </c>
      <c r="M42" s="32" t="s">
        <v>81</v>
      </c>
      <c r="N42" s="10"/>
      <c r="O42" s="10"/>
      <c r="P42" s="10"/>
      <c r="Q42" s="11"/>
      <c r="R42" s="7"/>
      <c r="S42" s="7"/>
      <c r="T42" s="7"/>
    </row>
    <row r="43" s="25" customFormat="1" ht="27.6" spans="1:20">
      <c r="A43" s="29" t="s">
        <v>84</v>
      </c>
      <c r="B43" s="29" t="s">
        <v>85</v>
      </c>
      <c r="C43" s="29">
        <v>42</v>
      </c>
      <c r="D43" s="29">
        <v>-65</v>
      </c>
      <c r="E43" s="30">
        <v>1075</v>
      </c>
      <c r="F43" s="28">
        <v>267</v>
      </c>
      <c r="G43" s="28">
        <v>1</v>
      </c>
      <c r="H43" s="58"/>
      <c r="I43" s="59"/>
      <c r="J43" s="29">
        <v>3.67</v>
      </c>
      <c r="K43" s="29">
        <v>0.13</v>
      </c>
      <c r="L43" s="33" t="s">
        <v>86</v>
      </c>
      <c r="M43" s="34" t="s">
        <v>87</v>
      </c>
      <c r="N43" s="10"/>
      <c r="O43" s="10"/>
      <c r="P43" s="10"/>
      <c r="Q43" s="11"/>
      <c r="R43" s="7"/>
      <c r="S43" s="7"/>
      <c r="T43" s="7"/>
    </row>
    <row r="44" s="25" customFormat="1" ht="69.6" spans="1:20">
      <c r="A44" s="29" t="s">
        <v>84</v>
      </c>
      <c r="B44" s="29" t="s">
        <v>88</v>
      </c>
      <c r="C44" s="29">
        <v>57.4</v>
      </c>
      <c r="D44" s="29">
        <v>-15.7</v>
      </c>
      <c r="E44" s="30">
        <v>1104</v>
      </c>
      <c r="F44" s="28">
        <v>233</v>
      </c>
      <c r="G44" s="28">
        <v>7</v>
      </c>
      <c r="H44" s="58"/>
      <c r="I44" s="59"/>
      <c r="J44" s="29">
        <v>2.25</v>
      </c>
      <c r="K44" s="29">
        <v>0.07</v>
      </c>
      <c r="L44" s="33" t="s">
        <v>86</v>
      </c>
      <c r="M44" s="32" t="s">
        <v>89</v>
      </c>
      <c r="N44" s="10"/>
      <c r="O44" s="10"/>
      <c r="P44" s="10"/>
      <c r="Q44" s="11"/>
      <c r="R44" s="7"/>
      <c r="S44" s="7"/>
      <c r="T44" s="7"/>
    </row>
    <row r="45" s="25" customFormat="1" ht="27.6" spans="1:20">
      <c r="A45" s="29" t="s">
        <v>90</v>
      </c>
      <c r="B45" s="29" t="s">
        <v>91</v>
      </c>
      <c r="C45" s="29">
        <v>24.5</v>
      </c>
      <c r="D45" s="29">
        <v>-114</v>
      </c>
      <c r="E45" s="30">
        <v>3480</v>
      </c>
      <c r="F45" s="28">
        <v>127</v>
      </c>
      <c r="G45" s="28">
        <v>5</v>
      </c>
      <c r="H45" s="58"/>
      <c r="I45" s="59"/>
      <c r="J45" s="29">
        <v>1.36</v>
      </c>
      <c r="K45" s="29">
        <v>0.03</v>
      </c>
      <c r="L45" s="33" t="s">
        <v>86</v>
      </c>
      <c r="M45" s="34" t="s">
        <v>87</v>
      </c>
      <c r="N45" s="10"/>
      <c r="O45" s="10"/>
      <c r="P45" s="10"/>
      <c r="Q45" s="11"/>
      <c r="R45" s="7"/>
      <c r="S45" s="7"/>
      <c r="T45" s="7"/>
    </row>
    <row r="46" s="25" customFormat="1" ht="27.6" spans="1:20">
      <c r="A46" s="29" t="s">
        <v>90</v>
      </c>
      <c r="B46" s="28" t="s">
        <v>92</v>
      </c>
      <c r="C46" s="29">
        <v>9</v>
      </c>
      <c r="D46" s="29">
        <v>-104</v>
      </c>
      <c r="E46" s="30">
        <v>3100</v>
      </c>
      <c r="F46" s="28">
        <v>114</v>
      </c>
      <c r="G46" s="28">
        <v>4</v>
      </c>
      <c r="H46" s="58"/>
      <c r="I46" s="59"/>
      <c r="J46" s="29">
        <v>1.33</v>
      </c>
      <c r="K46" s="29">
        <v>0</v>
      </c>
      <c r="L46" s="33" t="s">
        <v>86</v>
      </c>
      <c r="M46" s="34" t="s">
        <v>87</v>
      </c>
      <c r="N46" s="10"/>
      <c r="O46" s="10"/>
      <c r="P46" s="10"/>
      <c r="Q46" s="11"/>
      <c r="R46" s="7"/>
      <c r="S46" s="7"/>
      <c r="T46" s="7"/>
    </row>
    <row r="47" s="25" customFormat="1" ht="41.4" spans="1:20">
      <c r="A47" s="29" t="s">
        <v>84</v>
      </c>
      <c r="B47" s="29" t="s">
        <v>93</v>
      </c>
      <c r="C47" s="29">
        <v>44.2</v>
      </c>
      <c r="D47" s="29">
        <v>-2.3</v>
      </c>
      <c r="E47" s="30">
        <v>1012</v>
      </c>
      <c r="F47" s="35">
        <v>188</v>
      </c>
      <c r="G47" s="35">
        <v>1</v>
      </c>
      <c r="H47" s="60"/>
      <c r="I47" s="22" t="s">
        <v>94</v>
      </c>
      <c r="J47" s="28">
        <v>2.03</v>
      </c>
      <c r="K47" s="28">
        <v>0</v>
      </c>
      <c r="L47" s="36" t="s">
        <v>95</v>
      </c>
      <c r="M47" s="34" t="s">
        <v>96</v>
      </c>
      <c r="N47" s="10"/>
      <c r="O47" s="10"/>
      <c r="P47" s="10"/>
      <c r="Q47" s="11"/>
      <c r="R47" s="7"/>
      <c r="S47" s="7"/>
      <c r="T47" s="7"/>
    </row>
    <row r="48" s="25" customFormat="1" ht="41.4" spans="1:20">
      <c r="A48" s="29" t="s">
        <v>84</v>
      </c>
      <c r="B48" s="29" t="s">
        <v>97</v>
      </c>
      <c r="C48" s="29">
        <v>44.5</v>
      </c>
      <c r="D48" s="29">
        <v>-2.6</v>
      </c>
      <c r="E48" s="30">
        <v>1993</v>
      </c>
      <c r="F48" s="37">
        <v>256</v>
      </c>
      <c r="G48" s="37">
        <v>0</v>
      </c>
      <c r="H48" s="60"/>
      <c r="I48" s="28" t="s">
        <v>94</v>
      </c>
      <c r="J48" s="28">
        <v>3.26</v>
      </c>
      <c r="K48" s="28">
        <v>0</v>
      </c>
      <c r="L48" s="36" t="s">
        <v>95</v>
      </c>
      <c r="M48" s="34" t="s">
        <v>96</v>
      </c>
      <c r="N48" s="10"/>
      <c r="O48" s="10"/>
      <c r="P48" s="10"/>
      <c r="Q48" s="11"/>
      <c r="R48" s="7"/>
      <c r="S48" s="7"/>
      <c r="T48" s="7"/>
    </row>
    <row r="49" s="25" customFormat="1" ht="41.4" spans="1:20">
      <c r="A49" s="29" t="s">
        <v>84</v>
      </c>
      <c r="B49" s="29" t="s">
        <v>98</v>
      </c>
      <c r="C49" s="29">
        <v>41.5</v>
      </c>
      <c r="D49" s="29">
        <v>-64</v>
      </c>
      <c r="E49" s="30">
        <v>2975</v>
      </c>
      <c r="F49" s="37">
        <v>272</v>
      </c>
      <c r="G49" s="37">
        <v>4</v>
      </c>
      <c r="H49" s="60"/>
      <c r="I49" s="36" t="s">
        <v>99</v>
      </c>
      <c r="J49" s="36">
        <v>3.91</v>
      </c>
      <c r="K49" s="36">
        <v>0</v>
      </c>
      <c r="L49" s="36" t="s">
        <v>95</v>
      </c>
      <c r="M49" s="34" t="s">
        <v>100</v>
      </c>
      <c r="N49" s="10"/>
      <c r="O49" s="10"/>
      <c r="P49" s="10"/>
      <c r="Q49" s="11"/>
      <c r="R49" s="7"/>
      <c r="S49" s="7"/>
      <c r="T49" s="7"/>
    </row>
    <row r="50" s="25" customFormat="1" ht="41.4" spans="1:20">
      <c r="A50" s="29" t="s">
        <v>84</v>
      </c>
      <c r="B50" s="29" t="s">
        <v>101</v>
      </c>
      <c r="C50" s="29">
        <v>42</v>
      </c>
      <c r="D50" s="29">
        <v>-64.7</v>
      </c>
      <c r="E50" s="30">
        <v>2225</v>
      </c>
      <c r="F50" s="28">
        <v>270</v>
      </c>
      <c r="G50" s="28">
        <v>3</v>
      </c>
      <c r="H50" s="60"/>
      <c r="I50" s="28" t="s">
        <v>94</v>
      </c>
      <c r="J50" s="28">
        <v>3.1</v>
      </c>
      <c r="K50" s="28">
        <v>0.07</v>
      </c>
      <c r="L50" s="36" t="s">
        <v>95</v>
      </c>
      <c r="M50" s="34" t="s">
        <v>100</v>
      </c>
      <c r="N50" s="10"/>
      <c r="O50" s="10"/>
      <c r="P50" s="10"/>
      <c r="Q50" s="11"/>
      <c r="R50" s="7"/>
      <c r="S50" s="7"/>
      <c r="T50" s="7"/>
    </row>
    <row r="51" s="25" customFormat="1" ht="41.4" spans="1:20">
      <c r="A51" s="29" t="s">
        <v>84</v>
      </c>
      <c r="B51" s="29" t="s">
        <v>102</v>
      </c>
      <c r="C51" s="29">
        <v>42</v>
      </c>
      <c r="D51" s="29">
        <v>-65</v>
      </c>
      <c r="E51" s="30">
        <v>1575</v>
      </c>
      <c r="F51" s="28">
        <v>270</v>
      </c>
      <c r="G51" s="28">
        <v>1</v>
      </c>
      <c r="H51" s="60"/>
      <c r="I51" s="28" t="s">
        <v>94</v>
      </c>
      <c r="J51" s="28">
        <v>2.88</v>
      </c>
      <c r="K51" s="28">
        <v>0.2</v>
      </c>
      <c r="L51" s="36" t="s">
        <v>95</v>
      </c>
      <c r="M51" s="34" t="s">
        <v>100</v>
      </c>
      <c r="N51" s="10"/>
      <c r="O51" s="10"/>
      <c r="P51" s="10"/>
      <c r="Q51" s="11"/>
      <c r="R51" s="7"/>
      <c r="S51" s="7"/>
      <c r="T51" s="7"/>
    </row>
    <row r="52" s="25" customFormat="1" ht="41.4" spans="1:20">
      <c r="A52" s="29" t="s">
        <v>84</v>
      </c>
      <c r="B52" s="29" t="s">
        <v>103</v>
      </c>
      <c r="C52" s="29">
        <v>42</v>
      </c>
      <c r="D52" s="29">
        <v>-65</v>
      </c>
      <c r="E52" s="30">
        <v>1575</v>
      </c>
      <c r="F52" s="28">
        <v>270</v>
      </c>
      <c r="G52" s="28">
        <v>1</v>
      </c>
      <c r="H52" s="60"/>
      <c r="I52" s="28" t="s">
        <v>94</v>
      </c>
      <c r="J52" s="28">
        <v>2.96</v>
      </c>
      <c r="K52" s="28">
        <v>0.07</v>
      </c>
      <c r="L52" s="36" t="s">
        <v>95</v>
      </c>
      <c r="M52" s="34" t="s">
        <v>100</v>
      </c>
      <c r="N52" s="10"/>
      <c r="O52" s="10"/>
      <c r="P52" s="10"/>
      <c r="Q52" s="11"/>
      <c r="R52" s="7"/>
      <c r="S52" s="7"/>
      <c r="T52" s="7"/>
    </row>
    <row r="53" s="25" customFormat="1" ht="41.4" spans="1:20">
      <c r="A53" s="29" t="s">
        <v>84</v>
      </c>
      <c r="B53" s="29" t="s">
        <v>104</v>
      </c>
      <c r="C53" s="29">
        <v>42</v>
      </c>
      <c r="D53" s="29">
        <v>-65</v>
      </c>
      <c r="E53" s="30">
        <v>1075</v>
      </c>
      <c r="F53" s="37">
        <v>267</v>
      </c>
      <c r="G53" s="37">
        <v>1</v>
      </c>
      <c r="H53" s="60"/>
      <c r="I53" s="28" t="s">
        <v>94</v>
      </c>
      <c r="J53" s="28">
        <v>2.47</v>
      </c>
      <c r="K53" s="28">
        <v>0</v>
      </c>
      <c r="L53" s="36" t="s">
        <v>95</v>
      </c>
      <c r="M53" s="34" t="s">
        <v>100</v>
      </c>
      <c r="N53" s="10"/>
      <c r="O53" s="10"/>
      <c r="P53" s="10"/>
      <c r="Q53" s="11"/>
      <c r="R53" s="7"/>
      <c r="S53" s="7"/>
      <c r="T53" s="7"/>
    </row>
    <row r="54" s="25" customFormat="1" ht="41.4" spans="1:20">
      <c r="A54" s="29" t="s">
        <v>84</v>
      </c>
      <c r="B54" s="28" t="s">
        <v>105</v>
      </c>
      <c r="C54" s="29">
        <v>38.233</v>
      </c>
      <c r="D54" s="29">
        <v>-71.5</v>
      </c>
      <c r="E54" s="38">
        <v>3000</v>
      </c>
      <c r="F54" s="37">
        <v>269</v>
      </c>
      <c r="G54" s="37">
        <v>4</v>
      </c>
      <c r="H54" s="60"/>
      <c r="I54" s="28" t="s">
        <v>94</v>
      </c>
      <c r="J54" s="28">
        <v>3.56</v>
      </c>
      <c r="K54" s="28">
        <v>0</v>
      </c>
      <c r="L54" s="36" t="s">
        <v>95</v>
      </c>
      <c r="M54" s="34" t="s">
        <v>100</v>
      </c>
      <c r="N54" s="10"/>
      <c r="O54" s="10"/>
      <c r="P54" s="10"/>
      <c r="Q54" s="11"/>
      <c r="R54" s="7"/>
      <c r="S54" s="7"/>
      <c r="T54" s="7"/>
    </row>
    <row r="55" s="25" customFormat="1" ht="41.4" spans="1:20">
      <c r="A55" s="29" t="s">
        <v>84</v>
      </c>
      <c r="B55" s="29" t="s">
        <v>106</v>
      </c>
      <c r="C55" s="29">
        <v>38.6</v>
      </c>
      <c r="D55" s="29">
        <v>-72.9</v>
      </c>
      <c r="E55" s="30">
        <v>2020</v>
      </c>
      <c r="F55" s="28">
        <v>263</v>
      </c>
      <c r="G55" s="28">
        <v>1</v>
      </c>
      <c r="H55" s="60"/>
      <c r="I55" s="28" t="s">
        <v>94</v>
      </c>
      <c r="J55" s="28">
        <v>2.76</v>
      </c>
      <c r="K55" s="28">
        <v>0.11</v>
      </c>
      <c r="L55" s="36" t="s">
        <v>95</v>
      </c>
      <c r="M55" s="34" t="s">
        <v>100</v>
      </c>
      <c r="N55" s="10"/>
      <c r="O55" s="10"/>
      <c r="P55" s="10"/>
      <c r="Q55" s="11"/>
      <c r="R55" s="7"/>
      <c r="S55" s="7"/>
      <c r="T55" s="7"/>
    </row>
    <row r="56" s="25" customFormat="1" ht="41.4" spans="1:20">
      <c r="A56" s="29" t="s">
        <v>84</v>
      </c>
      <c r="B56" s="29" t="s">
        <v>107</v>
      </c>
      <c r="C56" s="29">
        <v>38.22</v>
      </c>
      <c r="D56" s="29">
        <v>-71.5</v>
      </c>
      <c r="E56" s="30">
        <v>3000</v>
      </c>
      <c r="F56" s="28">
        <v>270</v>
      </c>
      <c r="G56" s="28">
        <v>2</v>
      </c>
      <c r="H56" s="60"/>
      <c r="I56" s="28" t="s">
        <v>94</v>
      </c>
      <c r="J56" s="28">
        <v>3.39</v>
      </c>
      <c r="K56" s="28">
        <v>0.02</v>
      </c>
      <c r="L56" s="36" t="s">
        <v>95</v>
      </c>
      <c r="M56" s="34" t="s">
        <v>100</v>
      </c>
      <c r="N56" s="10"/>
      <c r="O56" s="10"/>
      <c r="P56" s="10"/>
      <c r="Q56" s="11"/>
      <c r="R56" s="7"/>
      <c r="S56" s="7"/>
      <c r="T56" s="7"/>
    </row>
    <row r="57" s="25" customFormat="1" ht="41.4" spans="1:20">
      <c r="A57" s="29" t="s">
        <v>84</v>
      </c>
      <c r="B57" s="29" t="s">
        <v>108</v>
      </c>
      <c r="C57" s="29">
        <v>14.67</v>
      </c>
      <c r="D57" s="29">
        <v>-17.83</v>
      </c>
      <c r="E57" s="30">
        <v>1332</v>
      </c>
      <c r="F57" s="37">
        <v>185</v>
      </c>
      <c r="G57" s="37">
        <v>2</v>
      </c>
      <c r="H57" s="60"/>
      <c r="I57" s="28" t="s">
        <v>94</v>
      </c>
      <c r="J57" s="28">
        <v>1.99</v>
      </c>
      <c r="K57" s="28">
        <v>0</v>
      </c>
      <c r="L57" s="36" t="s">
        <v>95</v>
      </c>
      <c r="M57" s="34" t="s">
        <v>100</v>
      </c>
      <c r="N57" s="10"/>
      <c r="O57" s="10"/>
      <c r="P57" s="10"/>
      <c r="Q57" s="11"/>
      <c r="R57" s="7"/>
      <c r="S57" s="7"/>
      <c r="T57" s="7"/>
    </row>
    <row r="58" s="25" customFormat="1" ht="41.4" spans="1:20">
      <c r="A58" s="29" t="s">
        <v>84</v>
      </c>
      <c r="B58" s="29" t="s">
        <v>109</v>
      </c>
      <c r="C58" s="29">
        <v>35.65</v>
      </c>
      <c r="D58" s="29">
        <v>-74.84</v>
      </c>
      <c r="E58" s="30">
        <v>1477</v>
      </c>
      <c r="F58" s="37">
        <v>264</v>
      </c>
      <c r="G58" s="37">
        <v>5</v>
      </c>
      <c r="H58" s="60"/>
      <c r="I58" s="28" t="s">
        <v>94</v>
      </c>
      <c r="J58" s="28">
        <v>2.28</v>
      </c>
      <c r="K58" s="28">
        <v>0</v>
      </c>
      <c r="L58" s="36" t="s">
        <v>95</v>
      </c>
      <c r="M58" s="34" t="s">
        <v>110</v>
      </c>
      <c r="N58" s="10"/>
      <c r="O58" s="10"/>
      <c r="P58" s="10"/>
      <c r="Q58" s="11"/>
      <c r="R58" s="7"/>
      <c r="S58" s="7"/>
      <c r="T58" s="7"/>
    </row>
    <row r="59" s="25" customFormat="1" ht="41.4" spans="1:20">
      <c r="A59" s="29" t="s">
        <v>111</v>
      </c>
      <c r="B59" s="29" t="s">
        <v>112</v>
      </c>
      <c r="C59" s="29">
        <v>-36.73</v>
      </c>
      <c r="D59" s="29">
        <v>136.55</v>
      </c>
      <c r="E59" s="30">
        <v>2476</v>
      </c>
      <c r="F59" s="28">
        <v>179</v>
      </c>
      <c r="G59" s="28">
        <v>2</v>
      </c>
      <c r="H59" s="60"/>
      <c r="I59" s="28" t="s">
        <v>113</v>
      </c>
      <c r="J59" s="28">
        <v>1.98</v>
      </c>
      <c r="K59" s="28">
        <v>0.29</v>
      </c>
      <c r="L59" s="36" t="s">
        <v>95</v>
      </c>
      <c r="M59" s="34" t="s">
        <v>114</v>
      </c>
      <c r="N59" s="10"/>
      <c r="O59" s="10"/>
      <c r="P59" s="10"/>
      <c r="Q59" s="11"/>
      <c r="R59" s="7"/>
      <c r="S59" s="7"/>
      <c r="T59" s="7"/>
    </row>
    <row r="60" s="25" customFormat="1" ht="41.4" spans="1:20">
      <c r="A60" s="29" t="s">
        <v>111</v>
      </c>
      <c r="B60" s="29" t="s">
        <v>115</v>
      </c>
      <c r="C60" s="29">
        <v>-36.81</v>
      </c>
      <c r="D60" s="29">
        <v>136.82</v>
      </c>
      <c r="E60" s="30">
        <v>1634</v>
      </c>
      <c r="F60" s="39">
        <v>167</v>
      </c>
      <c r="G60" s="39">
        <v>3</v>
      </c>
      <c r="H60" s="60"/>
      <c r="I60" s="28" t="s">
        <v>113</v>
      </c>
      <c r="J60" s="28">
        <v>1.6</v>
      </c>
      <c r="K60" s="28">
        <v>0</v>
      </c>
      <c r="L60" s="36" t="s">
        <v>95</v>
      </c>
      <c r="M60" s="34" t="s">
        <v>116</v>
      </c>
      <c r="N60" s="10"/>
      <c r="O60" s="10"/>
      <c r="P60" s="10"/>
      <c r="Q60" s="11"/>
      <c r="R60" s="7"/>
      <c r="S60" s="7"/>
      <c r="T60" s="7"/>
    </row>
    <row r="61" s="25" customFormat="1" ht="41.4" spans="1:20">
      <c r="A61" s="29" t="s">
        <v>117</v>
      </c>
      <c r="B61" s="29" t="s">
        <v>118</v>
      </c>
      <c r="C61" s="29">
        <v>53.617</v>
      </c>
      <c r="D61" s="29">
        <v>-163.21</v>
      </c>
      <c r="E61" s="30">
        <v>1988</v>
      </c>
      <c r="F61" s="28">
        <v>62</v>
      </c>
      <c r="G61" s="28">
        <v>3</v>
      </c>
      <c r="H61" s="60"/>
      <c r="I61" s="28" t="s">
        <v>113</v>
      </c>
      <c r="J61" s="28">
        <v>0.82</v>
      </c>
      <c r="K61" s="28">
        <v>0.16</v>
      </c>
      <c r="L61" s="36" t="s">
        <v>95</v>
      </c>
      <c r="M61" s="34" t="s">
        <v>116</v>
      </c>
      <c r="N61" s="10"/>
      <c r="O61" s="10"/>
      <c r="P61" s="10"/>
      <c r="Q61" s="11"/>
      <c r="R61" s="7"/>
      <c r="S61" s="7"/>
      <c r="T61" s="7"/>
    </row>
    <row r="62" s="25" customFormat="1" ht="27.6" spans="1:20">
      <c r="A62" s="29" t="s">
        <v>117</v>
      </c>
      <c r="B62" s="29" t="s">
        <v>119</v>
      </c>
      <c r="C62" s="29">
        <v>32.5</v>
      </c>
      <c r="D62" s="29">
        <v>-118</v>
      </c>
      <c r="E62" s="30">
        <v>1800</v>
      </c>
      <c r="F62" s="28">
        <v>56</v>
      </c>
      <c r="G62" s="28">
        <v>0</v>
      </c>
      <c r="H62" s="60"/>
      <c r="I62" s="28" t="s">
        <v>120</v>
      </c>
      <c r="J62" s="28">
        <v>0.84</v>
      </c>
      <c r="K62" s="28">
        <v>0.3</v>
      </c>
      <c r="L62" s="36" t="s">
        <v>95</v>
      </c>
      <c r="M62" s="34" t="s">
        <v>100</v>
      </c>
      <c r="N62" s="10"/>
      <c r="O62" s="10"/>
      <c r="P62" s="10"/>
      <c r="Q62" s="11"/>
      <c r="R62" s="7"/>
      <c r="S62" s="7"/>
      <c r="T62" s="7"/>
    </row>
    <row r="63" s="25" customFormat="1" ht="27.6" spans="1:20">
      <c r="A63" s="29" t="s">
        <v>117</v>
      </c>
      <c r="B63" s="29" t="s">
        <v>121</v>
      </c>
      <c r="C63" s="29">
        <v>35.47</v>
      </c>
      <c r="D63" s="29">
        <v>-122.35</v>
      </c>
      <c r="E63" s="30">
        <v>3807</v>
      </c>
      <c r="F63" s="28">
        <v>137</v>
      </c>
      <c r="G63" s="28">
        <v>6</v>
      </c>
      <c r="H63" s="60"/>
      <c r="I63" s="28" t="s">
        <v>122</v>
      </c>
      <c r="J63" s="28">
        <v>1.44</v>
      </c>
      <c r="K63" s="28">
        <v>0.12</v>
      </c>
      <c r="L63" s="36" t="s">
        <v>95</v>
      </c>
      <c r="M63" s="34" t="s">
        <v>110</v>
      </c>
      <c r="N63" s="10"/>
      <c r="O63" s="10"/>
      <c r="P63" s="10"/>
      <c r="Q63" s="11"/>
      <c r="R63" s="7"/>
      <c r="S63" s="7"/>
      <c r="T63" s="7"/>
    </row>
    <row r="64" s="25" customFormat="1" ht="41.4" spans="1:20">
      <c r="A64" s="29" t="s">
        <v>84</v>
      </c>
      <c r="B64" s="29" t="s">
        <v>123</v>
      </c>
      <c r="C64" s="29">
        <v>44.8</v>
      </c>
      <c r="D64" s="29">
        <v>-2.5</v>
      </c>
      <c r="E64" s="30">
        <v>2800</v>
      </c>
      <c r="F64" s="28">
        <v>246</v>
      </c>
      <c r="G64" s="28">
        <v>4</v>
      </c>
      <c r="H64" s="60"/>
      <c r="I64" s="28" t="s">
        <v>94</v>
      </c>
      <c r="J64" s="28">
        <v>2.66</v>
      </c>
      <c r="K64" s="28">
        <v>0.04</v>
      </c>
      <c r="L64" s="36" t="s">
        <v>95</v>
      </c>
      <c r="M64" s="34" t="s">
        <v>124</v>
      </c>
      <c r="N64" s="10"/>
      <c r="O64" s="10"/>
      <c r="P64" s="10"/>
      <c r="Q64" s="11"/>
      <c r="R64" s="7"/>
      <c r="S64" s="7"/>
      <c r="T64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zoomScale="68" zoomScaleNormal="68" topLeftCell="A49" workbookViewId="0">
      <selection activeCell="V9" sqref="V9"/>
    </sheetView>
  </sheetViews>
  <sheetFormatPr defaultColWidth="8.88888888888889" defaultRowHeight="14.4"/>
  <cols>
    <col min="13" max="13" width="39.9166666666667" customWidth="1"/>
  </cols>
  <sheetData>
    <row r="1" ht="27.6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</row>
    <row r="2" ht="79.2" spans="1:20">
      <c r="A2" s="1" t="s">
        <v>20</v>
      </c>
      <c r="B2" s="1" t="s">
        <v>21</v>
      </c>
      <c r="C2" s="1">
        <v>14.6</v>
      </c>
      <c r="D2" s="1">
        <v>52.9</v>
      </c>
      <c r="E2" s="1">
        <v>1803</v>
      </c>
      <c r="F2" s="1">
        <v>82.19</v>
      </c>
      <c r="G2" s="1">
        <v>1.12</v>
      </c>
      <c r="H2" s="1" t="s">
        <v>22</v>
      </c>
      <c r="I2" s="1" t="s">
        <v>23</v>
      </c>
      <c r="J2" s="1">
        <v>0.96</v>
      </c>
      <c r="K2" s="1">
        <v>0.23</v>
      </c>
      <c r="L2" s="8" t="s">
        <v>24</v>
      </c>
      <c r="M2" s="9" t="s">
        <v>25</v>
      </c>
      <c r="N2" s="7">
        <v>37.254</v>
      </c>
      <c r="O2" s="10">
        <v>2.772</v>
      </c>
      <c r="P2" s="10"/>
      <c r="Q2" s="11"/>
      <c r="R2" s="7"/>
      <c r="S2" s="7"/>
      <c r="T2" s="7"/>
    </row>
    <row r="3" ht="79.2" spans="1:20">
      <c r="A3" s="1" t="s">
        <v>26</v>
      </c>
      <c r="B3" s="1" t="s">
        <v>27</v>
      </c>
      <c r="C3" s="1">
        <v>7.59</v>
      </c>
      <c r="D3" s="1">
        <v>-53.92</v>
      </c>
      <c r="E3" s="1">
        <v>383</v>
      </c>
      <c r="F3" s="1">
        <v>119.73</v>
      </c>
      <c r="G3" s="1">
        <v>3.51</v>
      </c>
      <c r="H3" s="1" t="s">
        <v>28</v>
      </c>
      <c r="I3" s="1" t="s">
        <v>23</v>
      </c>
      <c r="J3" s="1">
        <v>0.87</v>
      </c>
      <c r="K3" s="1">
        <v>0.32</v>
      </c>
      <c r="L3" s="8" t="s">
        <v>24</v>
      </c>
      <c r="M3" s="9" t="s">
        <v>29</v>
      </c>
      <c r="N3" s="10"/>
      <c r="O3" s="10"/>
      <c r="P3" s="10"/>
      <c r="Q3" s="11"/>
      <c r="R3" s="7"/>
      <c r="S3" s="7"/>
      <c r="T3" s="7"/>
    </row>
    <row r="4" ht="79.2" spans="1:20">
      <c r="A4" s="1" t="s">
        <v>26</v>
      </c>
      <c r="B4" s="1" t="s">
        <v>30</v>
      </c>
      <c r="C4" s="1">
        <v>7.66</v>
      </c>
      <c r="D4" s="1">
        <v>-53.82</v>
      </c>
      <c r="E4" s="1">
        <v>556</v>
      </c>
      <c r="F4" s="1">
        <v>120.55</v>
      </c>
      <c r="G4" s="1">
        <v>3.49</v>
      </c>
      <c r="H4" s="1" t="s">
        <v>28</v>
      </c>
      <c r="I4" s="1" t="s">
        <v>23</v>
      </c>
      <c r="J4" s="1">
        <v>1.12</v>
      </c>
      <c r="K4" s="1">
        <v>0.32</v>
      </c>
      <c r="L4" s="8" t="s">
        <v>24</v>
      </c>
      <c r="M4" s="9" t="s">
        <v>29</v>
      </c>
      <c r="N4" s="10"/>
      <c r="O4" s="10"/>
      <c r="P4" s="10"/>
      <c r="Q4" s="11"/>
      <c r="R4" s="7"/>
      <c r="S4" s="7"/>
      <c r="T4" s="7"/>
    </row>
    <row r="5" ht="79.2" spans="1:20">
      <c r="A5" s="1" t="s">
        <v>26</v>
      </c>
      <c r="B5" s="1" t="s">
        <v>31</v>
      </c>
      <c r="C5" s="1">
        <v>7.72</v>
      </c>
      <c r="D5" s="1">
        <v>-53.78</v>
      </c>
      <c r="E5" s="1">
        <v>704</v>
      </c>
      <c r="F5" s="1">
        <v>128.92</v>
      </c>
      <c r="G5" s="1">
        <v>1.45</v>
      </c>
      <c r="H5" s="1" t="s">
        <v>28</v>
      </c>
      <c r="I5" s="1" t="s">
        <v>23</v>
      </c>
      <c r="J5" s="1">
        <v>1.24</v>
      </c>
      <c r="K5" s="1">
        <v>0.32</v>
      </c>
      <c r="L5" s="8" t="s">
        <v>24</v>
      </c>
      <c r="M5" s="9" t="s">
        <v>29</v>
      </c>
      <c r="N5" s="10"/>
      <c r="O5" s="10"/>
      <c r="P5" s="10"/>
      <c r="Q5" s="11"/>
      <c r="R5" s="7"/>
      <c r="S5" s="7"/>
      <c r="T5" s="7"/>
    </row>
    <row r="6" ht="79.2" spans="1:20">
      <c r="A6" s="1" t="s">
        <v>26</v>
      </c>
      <c r="B6" s="1" t="s">
        <v>32</v>
      </c>
      <c r="C6" s="1">
        <v>7.84</v>
      </c>
      <c r="D6" s="1">
        <v>-53.67</v>
      </c>
      <c r="E6" s="1">
        <v>962</v>
      </c>
      <c r="F6" s="1">
        <v>150.18</v>
      </c>
      <c r="G6" s="1">
        <v>0.81</v>
      </c>
      <c r="H6" s="1" t="s">
        <v>28</v>
      </c>
      <c r="I6" s="1" t="s">
        <v>23</v>
      </c>
      <c r="J6" s="1">
        <v>1.46</v>
      </c>
      <c r="K6" s="1">
        <v>0.32</v>
      </c>
      <c r="L6" s="8" t="s">
        <v>24</v>
      </c>
      <c r="M6" s="9" t="s">
        <v>29</v>
      </c>
      <c r="N6" s="10"/>
      <c r="O6" s="10"/>
      <c r="P6" s="10"/>
      <c r="Q6" s="11"/>
      <c r="R6" s="7"/>
      <c r="S6" s="7"/>
      <c r="T6" s="7"/>
    </row>
    <row r="7" ht="79.2" spans="1:20">
      <c r="A7" s="1" t="s">
        <v>26</v>
      </c>
      <c r="B7" s="1" t="s">
        <v>33</v>
      </c>
      <c r="C7" s="1">
        <v>7.44</v>
      </c>
      <c r="D7" s="1">
        <v>-52.76</v>
      </c>
      <c r="E7" s="1">
        <v>1029</v>
      </c>
      <c r="F7" s="1">
        <v>155.4</v>
      </c>
      <c r="G7" s="1">
        <v>3.74</v>
      </c>
      <c r="H7" s="1" t="s">
        <v>28</v>
      </c>
      <c r="I7" s="1" t="s">
        <v>23</v>
      </c>
      <c r="J7" s="1">
        <v>1.64</v>
      </c>
      <c r="K7" s="1">
        <v>0.32</v>
      </c>
      <c r="L7" s="8" t="s">
        <v>24</v>
      </c>
      <c r="M7" s="9" t="s">
        <v>29</v>
      </c>
      <c r="N7" s="7">
        <v>30.959</v>
      </c>
      <c r="O7" s="10">
        <v>2.087</v>
      </c>
      <c r="P7" s="10"/>
      <c r="Q7" s="11"/>
      <c r="R7" s="7"/>
      <c r="S7" s="7"/>
      <c r="T7" s="7"/>
    </row>
    <row r="8" ht="79.2" spans="1:20">
      <c r="A8" s="1" t="s">
        <v>26</v>
      </c>
      <c r="B8" s="1" t="s">
        <v>34</v>
      </c>
      <c r="C8" s="1">
        <v>7.94</v>
      </c>
      <c r="D8" s="1">
        <v>-53.58</v>
      </c>
      <c r="E8" s="1">
        <v>1107</v>
      </c>
      <c r="F8" s="1">
        <v>172.58</v>
      </c>
      <c r="G8" s="1">
        <v>0.99</v>
      </c>
      <c r="H8" s="1" t="s">
        <v>28</v>
      </c>
      <c r="I8" s="1" t="s">
        <v>23</v>
      </c>
      <c r="J8" s="1">
        <v>1.68</v>
      </c>
      <c r="K8" s="1">
        <v>0.32</v>
      </c>
      <c r="L8" s="8" t="s">
        <v>24</v>
      </c>
      <c r="M8" s="9" t="s">
        <v>29</v>
      </c>
      <c r="N8" s="10"/>
      <c r="O8" s="10"/>
      <c r="P8" s="10"/>
      <c r="Q8" s="11"/>
      <c r="R8" s="7"/>
      <c r="S8" s="7"/>
      <c r="T8" s="7"/>
    </row>
    <row r="9" ht="79.2" spans="1:20">
      <c r="A9" s="1" t="s">
        <v>26</v>
      </c>
      <c r="B9" s="1" t="s">
        <v>35</v>
      </c>
      <c r="C9" s="1">
        <v>8.25</v>
      </c>
      <c r="D9" s="1">
        <v>-53.24</v>
      </c>
      <c r="E9" s="1">
        <v>1275</v>
      </c>
      <c r="F9" s="1">
        <v>199.2</v>
      </c>
      <c r="G9" s="1">
        <v>2.26</v>
      </c>
      <c r="H9" s="1" t="s">
        <v>28</v>
      </c>
      <c r="I9" s="1" t="s">
        <v>23</v>
      </c>
      <c r="J9" s="1">
        <v>1.73</v>
      </c>
      <c r="K9" s="1">
        <v>0.32</v>
      </c>
      <c r="L9" s="8" t="s">
        <v>24</v>
      </c>
      <c r="M9" s="9" t="s">
        <v>29</v>
      </c>
      <c r="N9" s="7">
        <v>23.812</v>
      </c>
      <c r="O9" s="10">
        <v>1.576</v>
      </c>
      <c r="P9" s="10"/>
      <c r="Q9" s="11"/>
      <c r="R9" s="7"/>
      <c r="S9" s="7"/>
      <c r="T9" s="7"/>
    </row>
    <row r="10" ht="79.2" spans="1:20">
      <c r="A10" s="1" t="s">
        <v>26</v>
      </c>
      <c r="B10" s="1" t="s">
        <v>36</v>
      </c>
      <c r="C10" s="1">
        <v>37.86</v>
      </c>
      <c r="D10" s="1">
        <v>-9.34</v>
      </c>
      <c r="E10" s="1">
        <v>628</v>
      </c>
      <c r="F10" s="1">
        <v>190.53</v>
      </c>
      <c r="G10" s="1">
        <v>5.89</v>
      </c>
      <c r="H10" s="1" t="s">
        <v>37</v>
      </c>
      <c r="I10" s="1" t="s">
        <v>23</v>
      </c>
      <c r="J10" s="1">
        <v>1.84</v>
      </c>
      <c r="K10" s="1">
        <v>0.14</v>
      </c>
      <c r="L10" s="8" t="s">
        <v>24</v>
      </c>
      <c r="M10" s="9" t="s">
        <v>38</v>
      </c>
      <c r="N10" s="7">
        <v>14.796</v>
      </c>
      <c r="O10" s="10">
        <v>0.821</v>
      </c>
      <c r="P10" s="10"/>
      <c r="Q10" s="11"/>
      <c r="R10" s="7"/>
      <c r="S10" s="7"/>
      <c r="T10" s="7"/>
    </row>
    <row r="11" ht="79.2" spans="1:20">
      <c r="A11" s="1" t="s">
        <v>26</v>
      </c>
      <c r="B11" s="1" t="s">
        <v>39</v>
      </c>
      <c r="C11" s="1">
        <v>37.84</v>
      </c>
      <c r="D11" s="1">
        <v>-9.51</v>
      </c>
      <c r="E11" s="1">
        <v>1127</v>
      </c>
      <c r="F11" s="1">
        <v>187.96</v>
      </c>
      <c r="G11" s="1">
        <v>1.18</v>
      </c>
      <c r="H11" s="1" t="s">
        <v>37</v>
      </c>
      <c r="I11" s="1" t="s">
        <v>23</v>
      </c>
      <c r="J11" s="1">
        <v>1.65</v>
      </c>
      <c r="K11" s="1">
        <v>0.14</v>
      </c>
      <c r="L11" s="8" t="s">
        <v>24</v>
      </c>
      <c r="M11" s="9" t="s">
        <v>38</v>
      </c>
      <c r="N11" s="7">
        <v>14.926</v>
      </c>
      <c r="O11" s="10">
        <v>0.881</v>
      </c>
      <c r="P11" s="10"/>
      <c r="Q11" s="11"/>
      <c r="R11" s="7"/>
      <c r="S11" s="7"/>
      <c r="T11" s="7"/>
    </row>
    <row r="12" ht="79.2" spans="1:20">
      <c r="A12" s="1" t="s">
        <v>26</v>
      </c>
      <c r="B12" s="1" t="s">
        <v>40</v>
      </c>
      <c r="C12" s="1">
        <v>37.94</v>
      </c>
      <c r="D12" s="1">
        <v>-9.59</v>
      </c>
      <c r="E12" s="1">
        <v>1448</v>
      </c>
      <c r="F12" s="1">
        <v>178.13</v>
      </c>
      <c r="G12" s="1">
        <v>32.35</v>
      </c>
      <c r="H12" s="1" t="s">
        <v>37</v>
      </c>
      <c r="I12" s="1" t="s">
        <v>23</v>
      </c>
      <c r="J12" s="1">
        <v>2.29</v>
      </c>
      <c r="K12" s="1">
        <v>0.14</v>
      </c>
      <c r="L12" s="8" t="s">
        <v>24</v>
      </c>
      <c r="M12" s="9" t="s">
        <v>38</v>
      </c>
      <c r="N12" s="7">
        <v>16.365</v>
      </c>
      <c r="O12" s="10">
        <v>0.974</v>
      </c>
      <c r="P12" s="10"/>
      <c r="Q12" s="11"/>
      <c r="R12" s="7"/>
      <c r="S12" s="7"/>
      <c r="T12" s="7"/>
    </row>
    <row r="13" ht="79.2" spans="1:20">
      <c r="A13" s="1" t="s">
        <v>26</v>
      </c>
      <c r="B13" s="1" t="s">
        <v>44</v>
      </c>
      <c r="C13" s="1">
        <v>-21.1</v>
      </c>
      <c r="D13" s="1">
        <v>11.8</v>
      </c>
      <c r="E13" s="1">
        <v>1283</v>
      </c>
      <c r="F13" s="1">
        <v>182.36</v>
      </c>
      <c r="G13" s="1">
        <v>3.2</v>
      </c>
      <c r="H13" s="1" t="s">
        <v>22</v>
      </c>
      <c r="I13" s="1" t="s">
        <v>45</v>
      </c>
      <c r="J13" s="1">
        <v>1.75</v>
      </c>
      <c r="K13" s="1">
        <v>0.23</v>
      </c>
      <c r="L13" s="8" t="s">
        <v>24</v>
      </c>
      <c r="M13" s="9" t="s">
        <v>46</v>
      </c>
      <c r="N13" s="10">
        <v>30.273</v>
      </c>
      <c r="O13" s="10">
        <v>1.936</v>
      </c>
      <c r="P13" s="10">
        <v>4.9</v>
      </c>
      <c r="Q13" s="11">
        <v>52.6</v>
      </c>
      <c r="R13" s="7"/>
      <c r="S13" s="7"/>
      <c r="T13" s="7"/>
    </row>
    <row r="14" ht="79.2" spans="1:20">
      <c r="A14" s="1" t="s">
        <v>26</v>
      </c>
      <c r="B14" s="1" t="s">
        <v>47</v>
      </c>
      <c r="C14" s="1">
        <v>-22.7</v>
      </c>
      <c r="D14" s="1">
        <v>12.6</v>
      </c>
      <c r="E14" s="1">
        <v>1313</v>
      </c>
      <c r="F14" s="1">
        <v>184.13</v>
      </c>
      <c r="G14" s="1">
        <v>3.11</v>
      </c>
      <c r="H14" s="1" t="s">
        <v>22</v>
      </c>
      <c r="I14" s="1" t="s">
        <v>45</v>
      </c>
      <c r="J14" s="1">
        <v>1.79</v>
      </c>
      <c r="K14" s="1">
        <v>0.23</v>
      </c>
      <c r="L14" s="8" t="s">
        <v>24</v>
      </c>
      <c r="M14" s="9" t="s">
        <v>46</v>
      </c>
      <c r="N14" s="10">
        <v>28.846</v>
      </c>
      <c r="O14" s="10">
        <v>1.978</v>
      </c>
      <c r="P14" s="10">
        <v>3.74</v>
      </c>
      <c r="Q14" s="11">
        <v>55.2</v>
      </c>
      <c r="R14" s="7"/>
      <c r="S14" s="7"/>
      <c r="T14" s="7"/>
    </row>
    <row r="15" ht="79.2" spans="1:20">
      <c r="A15" s="1" t="s">
        <v>26</v>
      </c>
      <c r="B15" s="1" t="s">
        <v>40</v>
      </c>
      <c r="C15" s="1">
        <v>37.94</v>
      </c>
      <c r="D15" s="1">
        <v>-9.59</v>
      </c>
      <c r="E15" s="1">
        <v>1448</v>
      </c>
      <c r="F15" s="1">
        <v>178.13</v>
      </c>
      <c r="G15" s="1">
        <v>32.35</v>
      </c>
      <c r="H15" s="1" t="s">
        <v>22</v>
      </c>
      <c r="I15" s="1" t="s">
        <v>23</v>
      </c>
      <c r="J15" s="1">
        <v>2.54</v>
      </c>
      <c r="K15" s="1">
        <v>0.23</v>
      </c>
      <c r="L15" s="8" t="s">
        <v>24</v>
      </c>
      <c r="M15" s="9" t="s">
        <v>38</v>
      </c>
      <c r="N15" s="10">
        <v>16.365</v>
      </c>
      <c r="O15" s="10">
        <v>0.974</v>
      </c>
      <c r="P15" s="10"/>
      <c r="Q15" s="11"/>
      <c r="R15" s="7"/>
      <c r="S15" s="7"/>
      <c r="T15" s="7"/>
    </row>
    <row r="16" ht="79.2" spans="1:20">
      <c r="A16" s="1" t="s">
        <v>26</v>
      </c>
      <c r="B16" s="1" t="s">
        <v>48</v>
      </c>
      <c r="C16" s="1">
        <v>-25.47</v>
      </c>
      <c r="D16" s="1">
        <v>13.08</v>
      </c>
      <c r="E16" s="1">
        <v>1785</v>
      </c>
      <c r="F16" s="1">
        <v>212.93</v>
      </c>
      <c r="G16" s="1">
        <v>1.57</v>
      </c>
      <c r="H16" s="1" t="s">
        <v>22</v>
      </c>
      <c r="I16" s="1" t="s">
        <v>49</v>
      </c>
      <c r="J16" s="1">
        <v>1.9</v>
      </c>
      <c r="K16" s="1">
        <v>0.23</v>
      </c>
      <c r="L16" s="8" t="s">
        <v>24</v>
      </c>
      <c r="M16" s="9" t="s">
        <v>50</v>
      </c>
      <c r="N16" s="10"/>
      <c r="O16" s="10"/>
      <c r="P16" s="10">
        <v>6.35</v>
      </c>
      <c r="Q16" s="11">
        <v>62.7</v>
      </c>
      <c r="R16" s="7"/>
      <c r="S16" s="7"/>
      <c r="T16" s="7"/>
    </row>
    <row r="17" ht="79.2" spans="1:20">
      <c r="A17" s="1" t="s">
        <v>26</v>
      </c>
      <c r="B17" s="1" t="s">
        <v>51</v>
      </c>
      <c r="C17" s="1">
        <v>-23.3</v>
      </c>
      <c r="D17" s="1">
        <v>12.4</v>
      </c>
      <c r="E17" s="1">
        <v>1980</v>
      </c>
      <c r="F17" s="1">
        <v>223.95</v>
      </c>
      <c r="G17" s="1">
        <v>2.77</v>
      </c>
      <c r="H17" s="1" t="s">
        <v>22</v>
      </c>
      <c r="I17" s="1" t="s">
        <v>45</v>
      </c>
      <c r="J17" s="1">
        <v>1.9</v>
      </c>
      <c r="K17" s="1">
        <v>0.23</v>
      </c>
      <c r="L17" s="8" t="s">
        <v>24</v>
      </c>
      <c r="M17" s="9" t="s">
        <v>46</v>
      </c>
      <c r="N17" s="10">
        <v>22.667</v>
      </c>
      <c r="O17" s="10">
        <v>1.591</v>
      </c>
      <c r="P17" s="10">
        <v>2.05</v>
      </c>
      <c r="Q17" s="11">
        <v>76.4</v>
      </c>
      <c r="R17" s="7"/>
      <c r="S17" s="7"/>
      <c r="T17" s="7"/>
    </row>
    <row r="18" ht="79.2" spans="1:20">
      <c r="A18" s="1" t="s">
        <v>26</v>
      </c>
      <c r="B18" s="1" t="s">
        <v>52</v>
      </c>
      <c r="C18" s="1">
        <v>8.38</v>
      </c>
      <c r="D18" s="1">
        <v>-53.05</v>
      </c>
      <c r="E18" s="1">
        <v>2052</v>
      </c>
      <c r="F18" s="1">
        <v>255.56</v>
      </c>
      <c r="G18" s="1">
        <v>0.9</v>
      </c>
      <c r="H18" s="1" t="s">
        <v>22</v>
      </c>
      <c r="I18" s="1" t="s">
        <v>23</v>
      </c>
      <c r="J18" s="1">
        <v>2.6</v>
      </c>
      <c r="K18" s="1">
        <v>0.23</v>
      </c>
      <c r="L18" s="8" t="s">
        <v>24</v>
      </c>
      <c r="M18" s="9" t="s">
        <v>29</v>
      </c>
      <c r="N18" s="10"/>
      <c r="O18" s="10"/>
      <c r="P18" s="10"/>
      <c r="Q18" s="11"/>
      <c r="R18" s="7"/>
      <c r="S18" s="7"/>
      <c r="T18" s="7"/>
    </row>
    <row r="19" ht="79.2" spans="1:20">
      <c r="A19" s="1" t="s">
        <v>26</v>
      </c>
      <c r="B19" s="1" t="s">
        <v>53</v>
      </c>
      <c r="C19" s="1">
        <v>62.3</v>
      </c>
      <c r="D19" s="1">
        <v>-17.15</v>
      </c>
      <c r="E19" s="1">
        <v>2126</v>
      </c>
      <c r="F19" s="1">
        <v>278.86</v>
      </c>
      <c r="G19" s="1">
        <v>1.8</v>
      </c>
      <c r="H19" s="1" t="s">
        <v>22</v>
      </c>
      <c r="I19" s="1" t="s">
        <v>45</v>
      </c>
      <c r="J19" s="1">
        <v>3.13</v>
      </c>
      <c r="K19" s="1">
        <v>0.23</v>
      </c>
      <c r="L19" s="8" t="s">
        <v>24</v>
      </c>
      <c r="M19" s="9" t="s">
        <v>54</v>
      </c>
      <c r="N19" s="10"/>
      <c r="O19" s="10"/>
      <c r="P19" s="10"/>
      <c r="Q19" s="11"/>
      <c r="R19" s="7"/>
      <c r="S19" s="7"/>
      <c r="T19" s="7"/>
    </row>
    <row r="20" ht="79.2" spans="1:20">
      <c r="A20" s="1" t="s">
        <v>26</v>
      </c>
      <c r="B20" s="1" t="s">
        <v>55</v>
      </c>
      <c r="C20" s="1">
        <v>8.43</v>
      </c>
      <c r="D20" s="1">
        <v>-52.79</v>
      </c>
      <c r="E20" s="1">
        <v>2440</v>
      </c>
      <c r="F20" s="1">
        <v>257.02</v>
      </c>
      <c r="G20" s="1">
        <v>0.68</v>
      </c>
      <c r="H20" s="1" t="s">
        <v>22</v>
      </c>
      <c r="I20" s="1" t="s">
        <v>23</v>
      </c>
      <c r="J20" s="1">
        <v>2.9</v>
      </c>
      <c r="K20" s="1">
        <v>0.23</v>
      </c>
      <c r="L20" s="8" t="s">
        <v>24</v>
      </c>
      <c r="M20" s="9" t="s">
        <v>29</v>
      </c>
      <c r="N20" s="10">
        <v>18.285</v>
      </c>
      <c r="O20" s="10">
        <v>1.222</v>
      </c>
      <c r="P20" s="10"/>
      <c r="Q20" s="11"/>
      <c r="R20" s="7"/>
      <c r="S20" s="7"/>
      <c r="T20" s="7"/>
    </row>
    <row r="21" ht="79.2" spans="1:20">
      <c r="A21" s="1" t="s">
        <v>26</v>
      </c>
      <c r="B21" s="1" t="s">
        <v>56</v>
      </c>
      <c r="C21" s="1">
        <v>8.47</v>
      </c>
      <c r="D21" s="1">
        <v>-52.79</v>
      </c>
      <c r="E21" s="1">
        <v>3328</v>
      </c>
      <c r="F21" s="1">
        <v>258.72</v>
      </c>
      <c r="G21" s="1">
        <v>0.2</v>
      </c>
      <c r="H21" s="1" t="s">
        <v>22</v>
      </c>
      <c r="I21" s="1" t="s">
        <v>23</v>
      </c>
      <c r="J21" s="1">
        <v>2.83</v>
      </c>
      <c r="K21" s="1">
        <v>0.23</v>
      </c>
      <c r="L21" s="8" t="s">
        <v>24</v>
      </c>
      <c r="M21" s="9" t="s">
        <v>29</v>
      </c>
      <c r="N21" s="10">
        <v>18.848</v>
      </c>
      <c r="O21" s="10">
        <v>1.296</v>
      </c>
      <c r="P21" s="10"/>
      <c r="Q21" s="11"/>
      <c r="R21" s="7"/>
      <c r="S21" s="7"/>
      <c r="T21" s="7"/>
    </row>
    <row r="22" ht="79.2" spans="1:20">
      <c r="A22" s="1" t="s">
        <v>57</v>
      </c>
      <c r="B22" s="1" t="s">
        <v>58</v>
      </c>
      <c r="C22" s="1">
        <v>17.8</v>
      </c>
      <c r="D22" s="1">
        <v>57.5</v>
      </c>
      <c r="E22" s="1">
        <v>761</v>
      </c>
      <c r="F22" s="1">
        <v>8.46</v>
      </c>
      <c r="G22" s="1">
        <v>1.99</v>
      </c>
      <c r="H22" s="1" t="s">
        <v>59</v>
      </c>
      <c r="I22" s="1" t="s">
        <v>23</v>
      </c>
      <c r="J22" s="1">
        <v>0.63</v>
      </c>
      <c r="K22" s="1">
        <v>0.51</v>
      </c>
      <c r="L22" s="8" t="s">
        <v>24</v>
      </c>
      <c r="M22" s="9" t="s">
        <v>60</v>
      </c>
      <c r="N22" s="10">
        <v>32.623</v>
      </c>
      <c r="O22" s="10">
        <v>2.684</v>
      </c>
      <c r="P22" s="10"/>
      <c r="Q22" s="11"/>
      <c r="R22" s="7"/>
      <c r="S22" s="7"/>
      <c r="T22" s="7"/>
    </row>
    <row r="23" ht="79.2" spans="1:20">
      <c r="A23" s="1" t="s">
        <v>61</v>
      </c>
      <c r="B23" s="1" t="s">
        <v>62</v>
      </c>
      <c r="C23" s="1">
        <v>7.86</v>
      </c>
      <c r="D23" s="1">
        <v>-83.61</v>
      </c>
      <c r="E23" s="1">
        <v>1364</v>
      </c>
      <c r="F23" s="1">
        <v>92.21</v>
      </c>
      <c r="G23" s="1">
        <v>5.11</v>
      </c>
      <c r="H23" s="1" t="s">
        <v>22</v>
      </c>
      <c r="I23" s="1" t="s">
        <v>63</v>
      </c>
      <c r="J23" s="1">
        <v>1.08</v>
      </c>
      <c r="K23" s="1">
        <v>0.23</v>
      </c>
      <c r="L23" s="8" t="s">
        <v>24</v>
      </c>
      <c r="M23" s="9" t="s">
        <v>54</v>
      </c>
      <c r="N23" s="10">
        <v>41.268</v>
      </c>
      <c r="O23" s="10">
        <v>3.02</v>
      </c>
      <c r="P23" s="10"/>
      <c r="Q23" s="11"/>
      <c r="R23" s="7"/>
      <c r="S23" s="7"/>
      <c r="T23" s="7"/>
    </row>
    <row r="24" ht="79.2" spans="1:20">
      <c r="A24" s="1" t="s">
        <v>61</v>
      </c>
      <c r="B24" s="1" t="s">
        <v>64</v>
      </c>
      <c r="C24" s="1">
        <v>-1.65</v>
      </c>
      <c r="D24" s="1">
        <v>-88.45</v>
      </c>
      <c r="E24" s="1">
        <v>2650</v>
      </c>
      <c r="F24" s="1">
        <v>119.89</v>
      </c>
      <c r="G24" s="1">
        <v>2.98</v>
      </c>
      <c r="H24" s="1" t="s">
        <v>22</v>
      </c>
      <c r="I24" s="1" t="s">
        <v>23</v>
      </c>
      <c r="J24" s="1">
        <v>1.69</v>
      </c>
      <c r="K24" s="1">
        <v>0.23</v>
      </c>
      <c r="L24" s="8" t="s">
        <v>24</v>
      </c>
      <c r="M24" s="9" t="s">
        <v>54</v>
      </c>
      <c r="N24" s="10">
        <v>37.395</v>
      </c>
      <c r="O24" s="10">
        <v>2.787</v>
      </c>
      <c r="P24" s="10"/>
      <c r="Q24" s="11"/>
      <c r="R24" s="7"/>
      <c r="S24" s="7"/>
      <c r="T24" s="7"/>
    </row>
    <row r="25" ht="79.2" spans="1:20">
      <c r="A25" s="1" t="s">
        <v>61</v>
      </c>
      <c r="B25" s="1" t="s">
        <v>65</v>
      </c>
      <c r="C25" s="1">
        <v>0.41</v>
      </c>
      <c r="D25" s="1">
        <v>-92.16</v>
      </c>
      <c r="E25" s="1">
        <v>2730</v>
      </c>
      <c r="F25" s="1">
        <v>120.09</v>
      </c>
      <c r="G25" s="1">
        <v>3.66</v>
      </c>
      <c r="H25" s="1" t="s">
        <v>22</v>
      </c>
      <c r="I25" s="1" t="s">
        <v>23</v>
      </c>
      <c r="J25" s="1">
        <v>1.78</v>
      </c>
      <c r="K25" s="1">
        <v>0.23</v>
      </c>
      <c r="L25" s="8" t="s">
        <v>24</v>
      </c>
      <c r="M25" s="9" t="s">
        <v>66</v>
      </c>
      <c r="N25" s="10">
        <v>37.438</v>
      </c>
      <c r="O25" s="10">
        <v>2.678</v>
      </c>
      <c r="P25" s="10"/>
      <c r="Q25" s="11"/>
      <c r="R25" s="7"/>
      <c r="S25" s="7"/>
      <c r="T25" s="7"/>
    </row>
    <row r="26" ht="79.2" spans="1:20">
      <c r="A26" s="1" t="s">
        <v>61</v>
      </c>
      <c r="B26" s="1" t="s">
        <v>67</v>
      </c>
      <c r="C26" s="1">
        <v>0.02</v>
      </c>
      <c r="D26" s="1">
        <v>-86.46</v>
      </c>
      <c r="E26" s="1">
        <v>2921</v>
      </c>
      <c r="F26" s="1">
        <v>124.13</v>
      </c>
      <c r="G26" s="1">
        <v>1.65</v>
      </c>
      <c r="H26" s="1" t="s">
        <v>22</v>
      </c>
      <c r="I26" s="1" t="s">
        <v>23</v>
      </c>
      <c r="J26" s="1">
        <v>2.15</v>
      </c>
      <c r="K26" s="1">
        <v>0.23</v>
      </c>
      <c r="L26" s="8" t="s">
        <v>24</v>
      </c>
      <c r="M26" s="9" t="s">
        <v>68</v>
      </c>
      <c r="N26" s="10"/>
      <c r="O26" s="10"/>
      <c r="P26" s="10">
        <v>0.992</v>
      </c>
      <c r="Q26" s="11">
        <v>60.54</v>
      </c>
      <c r="R26" s="7"/>
      <c r="S26" s="7"/>
      <c r="T26" s="7"/>
    </row>
    <row r="27" ht="79.2" spans="1:20">
      <c r="A27" s="1" t="s">
        <v>61</v>
      </c>
      <c r="B27" s="12" t="s">
        <v>69</v>
      </c>
      <c r="C27" s="12">
        <v>-3.09</v>
      </c>
      <c r="D27" s="12">
        <v>-90.82</v>
      </c>
      <c r="E27" s="12">
        <v>3295</v>
      </c>
      <c r="F27" s="12">
        <v>137.97</v>
      </c>
      <c r="G27" s="12">
        <v>2.31</v>
      </c>
      <c r="H27" s="12" t="s">
        <v>22</v>
      </c>
      <c r="I27" s="12" t="s">
        <v>23</v>
      </c>
      <c r="J27" s="12">
        <v>1.61</v>
      </c>
      <c r="K27" s="12">
        <v>0.23</v>
      </c>
      <c r="L27" s="13" t="s">
        <v>24</v>
      </c>
      <c r="M27" s="14" t="s">
        <v>68</v>
      </c>
      <c r="N27" s="10">
        <v>37.478</v>
      </c>
      <c r="O27" s="10">
        <v>2.729</v>
      </c>
      <c r="P27" s="10">
        <v>1.03</v>
      </c>
      <c r="Q27" s="11">
        <v>66</v>
      </c>
      <c r="R27" s="7"/>
      <c r="S27" s="7"/>
      <c r="T27" s="7"/>
    </row>
    <row r="28" ht="79.2" spans="1:20">
      <c r="A28" s="1" t="s">
        <v>61</v>
      </c>
      <c r="B28" s="15" t="s">
        <v>72</v>
      </c>
      <c r="C28" s="16">
        <v>-1.253017</v>
      </c>
      <c r="D28" s="16">
        <v>-89.68555</v>
      </c>
      <c r="E28" s="17">
        <v>615</v>
      </c>
      <c r="F28" s="17">
        <v>41.54</v>
      </c>
      <c r="G28" s="18">
        <v>3.59</v>
      </c>
      <c r="H28" s="1" t="s">
        <v>22</v>
      </c>
      <c r="I28" s="1" t="s">
        <v>23</v>
      </c>
      <c r="J28" s="19">
        <v>0.980214285714286</v>
      </c>
      <c r="K28" s="19">
        <v>0.198063301569401</v>
      </c>
      <c r="L28" s="20" t="s">
        <v>24</v>
      </c>
      <c r="M28" s="1" t="s">
        <v>71</v>
      </c>
      <c r="N28" s="10">
        <v>39.236</v>
      </c>
      <c r="O28" s="10">
        <v>2.924</v>
      </c>
      <c r="P28" s="10"/>
      <c r="Q28" s="11"/>
      <c r="R28" s="7"/>
      <c r="S28" s="7"/>
      <c r="T28" s="7"/>
    </row>
    <row r="29" ht="79.2" spans="1:20">
      <c r="A29" s="1" t="s">
        <v>61</v>
      </c>
      <c r="B29" s="15" t="s">
        <v>73</v>
      </c>
      <c r="C29" s="16">
        <v>-3.8504</v>
      </c>
      <c r="D29" s="16">
        <v>-81.25</v>
      </c>
      <c r="E29" s="17">
        <v>689</v>
      </c>
      <c r="F29" s="17">
        <v>40.49</v>
      </c>
      <c r="G29" s="21">
        <v>0.64</v>
      </c>
      <c r="H29" s="1" t="s">
        <v>22</v>
      </c>
      <c r="I29" s="1" t="s">
        <v>23</v>
      </c>
      <c r="J29" s="19">
        <v>1.07466666666667</v>
      </c>
      <c r="K29" s="19">
        <v>0.0711500761302002</v>
      </c>
      <c r="L29" s="20" t="s">
        <v>24</v>
      </c>
      <c r="M29" s="1" t="s">
        <v>71</v>
      </c>
      <c r="N29" s="10">
        <v>42.422</v>
      </c>
      <c r="O29" s="10">
        <v>3.025</v>
      </c>
      <c r="P29" s="10"/>
      <c r="Q29" s="11"/>
      <c r="R29" s="7"/>
      <c r="S29" s="7"/>
      <c r="T29" s="7"/>
    </row>
    <row r="30" ht="79.2" spans="1:20">
      <c r="A30" s="1" t="s">
        <v>61</v>
      </c>
      <c r="B30" s="15" t="s">
        <v>74</v>
      </c>
      <c r="C30" s="16">
        <v>-3.986617</v>
      </c>
      <c r="D30" s="16">
        <v>-81.3099</v>
      </c>
      <c r="E30" s="17">
        <v>1024</v>
      </c>
      <c r="F30" s="17">
        <v>60.09</v>
      </c>
      <c r="G30" s="21">
        <v>2.93</v>
      </c>
      <c r="H30" s="1" t="s">
        <v>22</v>
      </c>
      <c r="I30" s="1" t="s">
        <v>23</v>
      </c>
      <c r="J30" s="19">
        <v>0.893</v>
      </c>
      <c r="K30" s="19">
        <v>0.264552452266087</v>
      </c>
      <c r="L30" s="20" t="s">
        <v>24</v>
      </c>
      <c r="M30" s="1" t="s">
        <v>71</v>
      </c>
      <c r="N30" s="10">
        <v>43.556</v>
      </c>
      <c r="O30" s="10">
        <v>2.93</v>
      </c>
      <c r="P30" s="10"/>
      <c r="Q30" s="11"/>
      <c r="R30" s="7"/>
      <c r="S30" s="7"/>
      <c r="T30" s="7"/>
    </row>
    <row r="31" ht="79.2" spans="1:20">
      <c r="A31" s="1" t="s">
        <v>61</v>
      </c>
      <c r="B31" s="15" t="s">
        <v>75</v>
      </c>
      <c r="C31" s="16">
        <v>-0.216133</v>
      </c>
      <c r="D31" s="16">
        <v>-89.504217</v>
      </c>
      <c r="E31" s="17">
        <v>1612</v>
      </c>
      <c r="F31" s="17">
        <v>76.85</v>
      </c>
      <c r="G31" s="21">
        <v>1.07</v>
      </c>
      <c r="H31" s="1" t="s">
        <v>22</v>
      </c>
      <c r="I31" s="1" t="s">
        <v>23</v>
      </c>
      <c r="J31" s="19">
        <v>1.25116666666667</v>
      </c>
      <c r="K31" s="19">
        <v>0.106092255450936</v>
      </c>
      <c r="L31" s="20" t="s">
        <v>24</v>
      </c>
      <c r="M31" s="1" t="s">
        <v>71</v>
      </c>
      <c r="N31" s="10"/>
      <c r="O31" s="10"/>
      <c r="P31" s="10"/>
      <c r="Q31" s="11"/>
      <c r="R31" s="7"/>
      <c r="S31" s="7"/>
      <c r="T31" s="7"/>
    </row>
    <row r="32" ht="79.2" spans="1:20">
      <c r="A32" s="1" t="s">
        <v>61</v>
      </c>
      <c r="B32" s="15" t="s">
        <v>76</v>
      </c>
      <c r="C32" s="16">
        <v>-0.826</v>
      </c>
      <c r="D32" s="16">
        <v>-87.908167</v>
      </c>
      <c r="E32" s="17">
        <v>1563</v>
      </c>
      <c r="F32" s="17">
        <v>82.51</v>
      </c>
      <c r="G32" s="21">
        <v>0.8</v>
      </c>
      <c r="H32" s="1" t="s">
        <v>22</v>
      </c>
      <c r="I32" s="1" t="s">
        <v>23</v>
      </c>
      <c r="J32" s="19">
        <v>0.814833333333333</v>
      </c>
      <c r="K32" s="19">
        <v>0.10455508914762</v>
      </c>
      <c r="L32" s="20" t="s">
        <v>24</v>
      </c>
      <c r="M32" s="1" t="s">
        <v>71</v>
      </c>
      <c r="N32" s="10">
        <v>39.906</v>
      </c>
      <c r="O32" s="10">
        <v>2.905</v>
      </c>
      <c r="P32" s="10"/>
      <c r="Q32" s="11"/>
      <c r="R32" s="7"/>
      <c r="S32" s="7"/>
      <c r="T32" s="7"/>
    </row>
    <row r="33" ht="79.2" spans="1:20">
      <c r="A33" s="1" t="s">
        <v>61</v>
      </c>
      <c r="B33" s="15" t="s">
        <v>77</v>
      </c>
      <c r="C33" s="16">
        <v>-3.223583</v>
      </c>
      <c r="D33" s="16">
        <v>-82.914167</v>
      </c>
      <c r="E33" s="17">
        <v>2949</v>
      </c>
      <c r="F33" s="17">
        <v>134</v>
      </c>
      <c r="G33" s="21">
        <v>3.6</v>
      </c>
      <c r="H33" s="1" t="s">
        <v>22</v>
      </c>
      <c r="I33" s="1" t="s">
        <v>23</v>
      </c>
      <c r="J33" s="19">
        <v>1.1865</v>
      </c>
      <c r="K33" s="19">
        <v>0.262607121000173</v>
      </c>
      <c r="L33" s="20" t="s">
        <v>24</v>
      </c>
      <c r="M33" s="1" t="s">
        <v>71</v>
      </c>
      <c r="N33" s="10">
        <v>38.119</v>
      </c>
      <c r="O33" s="10">
        <v>2.659</v>
      </c>
      <c r="P33" s="10"/>
      <c r="Q33" s="11"/>
      <c r="R33" s="7"/>
      <c r="S33" s="7"/>
      <c r="T33" s="7"/>
    </row>
    <row r="34" ht="41.4" spans="1:20">
      <c r="A34" s="22" t="s">
        <v>78</v>
      </c>
      <c r="B34" s="23" t="s">
        <v>79</v>
      </c>
      <c r="C34" s="23">
        <v>41.5</v>
      </c>
      <c r="D34" s="23">
        <v>-64</v>
      </c>
      <c r="E34" s="24">
        <v>3000</v>
      </c>
      <c r="F34" s="22">
        <v>275</v>
      </c>
      <c r="G34" s="22">
        <v>2</v>
      </c>
      <c r="H34" s="25"/>
      <c r="I34" s="25"/>
      <c r="J34" s="22">
        <v>4.24</v>
      </c>
      <c r="K34" s="22">
        <v>0.33</v>
      </c>
      <c r="L34" s="26" t="s">
        <v>80</v>
      </c>
      <c r="M34" s="27" t="s">
        <v>81</v>
      </c>
      <c r="N34" s="10">
        <v>18.135</v>
      </c>
      <c r="O34" s="10">
        <v>1.164</v>
      </c>
      <c r="P34" s="10"/>
      <c r="Q34" s="11"/>
      <c r="R34" s="7"/>
      <c r="S34" s="7"/>
      <c r="T34" s="7"/>
    </row>
    <row r="35" ht="41.4" spans="1:20">
      <c r="A35" s="28" t="s">
        <v>78</v>
      </c>
      <c r="B35" s="29" t="s">
        <v>82</v>
      </c>
      <c r="C35" s="29">
        <v>42</v>
      </c>
      <c r="D35" s="29">
        <v>-65</v>
      </c>
      <c r="E35" s="30">
        <v>1575</v>
      </c>
      <c r="F35" s="28">
        <v>270</v>
      </c>
      <c r="G35" s="28">
        <v>1</v>
      </c>
      <c r="H35" s="25"/>
      <c r="I35" s="25"/>
      <c r="J35" s="28">
        <v>3.62</v>
      </c>
      <c r="K35" s="28">
        <v>0.19</v>
      </c>
      <c r="L35" s="31" t="s">
        <v>83</v>
      </c>
      <c r="M35" s="32" t="s">
        <v>81</v>
      </c>
      <c r="N35" s="10"/>
      <c r="O35" s="10"/>
      <c r="P35" s="10"/>
      <c r="Q35" s="11"/>
      <c r="R35" s="7"/>
      <c r="S35" s="7"/>
      <c r="T35" s="7"/>
    </row>
    <row r="36" ht="41.4" spans="1:20">
      <c r="A36" s="29" t="s">
        <v>84</v>
      </c>
      <c r="B36" s="29" t="s">
        <v>85</v>
      </c>
      <c r="C36" s="29">
        <v>42</v>
      </c>
      <c r="D36" s="29">
        <v>-65</v>
      </c>
      <c r="E36" s="30">
        <v>1075</v>
      </c>
      <c r="F36" s="28">
        <v>267</v>
      </c>
      <c r="G36" s="28">
        <v>1</v>
      </c>
      <c r="H36" s="25"/>
      <c r="I36" s="25"/>
      <c r="J36" s="29">
        <v>3.67</v>
      </c>
      <c r="K36" s="29">
        <v>0.13</v>
      </c>
      <c r="L36" s="33" t="s">
        <v>86</v>
      </c>
      <c r="M36" s="34" t="s">
        <v>87</v>
      </c>
      <c r="N36" s="10"/>
      <c r="O36" s="10"/>
      <c r="P36" s="10"/>
      <c r="Q36" s="11"/>
      <c r="R36" s="7"/>
      <c r="S36" s="7"/>
      <c r="T36" s="7"/>
    </row>
    <row r="37" ht="55.8" spans="1:20">
      <c r="A37" s="29" t="s">
        <v>84</v>
      </c>
      <c r="B37" s="29" t="s">
        <v>88</v>
      </c>
      <c r="C37" s="29">
        <v>57.4</v>
      </c>
      <c r="D37" s="29">
        <v>-15.7</v>
      </c>
      <c r="E37" s="30">
        <v>1104</v>
      </c>
      <c r="F37" s="28">
        <v>233</v>
      </c>
      <c r="G37" s="28">
        <v>7</v>
      </c>
      <c r="H37" s="25"/>
      <c r="I37" s="25"/>
      <c r="J37" s="29">
        <v>2.25</v>
      </c>
      <c r="K37" s="29">
        <v>0.07</v>
      </c>
      <c r="L37" s="33" t="s">
        <v>86</v>
      </c>
      <c r="M37" s="32" t="s">
        <v>89</v>
      </c>
      <c r="N37" s="10"/>
      <c r="O37" s="10"/>
      <c r="P37" s="10"/>
      <c r="Q37" s="11"/>
      <c r="R37" s="7"/>
      <c r="S37" s="7"/>
      <c r="T37" s="7"/>
    </row>
    <row r="38" ht="41.4" spans="1:20">
      <c r="A38" s="29" t="s">
        <v>90</v>
      </c>
      <c r="B38" s="29" t="s">
        <v>91</v>
      </c>
      <c r="C38" s="29">
        <v>24.5</v>
      </c>
      <c r="D38" s="29">
        <v>-114</v>
      </c>
      <c r="E38" s="30">
        <v>3480</v>
      </c>
      <c r="F38" s="28">
        <v>127</v>
      </c>
      <c r="G38" s="28">
        <v>5</v>
      </c>
      <c r="H38" s="25"/>
      <c r="I38" s="25"/>
      <c r="J38" s="29">
        <v>1.36</v>
      </c>
      <c r="K38" s="29">
        <v>0.03</v>
      </c>
      <c r="L38" s="33" t="s">
        <v>86</v>
      </c>
      <c r="M38" s="34" t="s">
        <v>87</v>
      </c>
      <c r="N38" s="10"/>
      <c r="O38" s="10"/>
      <c r="P38" s="10"/>
      <c r="Q38" s="11"/>
      <c r="R38" s="7"/>
      <c r="S38" s="7"/>
      <c r="T38" s="7"/>
    </row>
    <row r="39" ht="41.4" spans="1:20">
      <c r="A39" s="29" t="s">
        <v>90</v>
      </c>
      <c r="B39" s="28" t="s">
        <v>92</v>
      </c>
      <c r="C39" s="29">
        <v>9</v>
      </c>
      <c r="D39" s="29">
        <v>-104</v>
      </c>
      <c r="E39" s="30">
        <v>3100</v>
      </c>
      <c r="F39" s="28">
        <v>114</v>
      </c>
      <c r="G39" s="28">
        <v>4</v>
      </c>
      <c r="H39" s="25"/>
      <c r="I39" s="25"/>
      <c r="J39" s="29">
        <v>1.33</v>
      </c>
      <c r="K39" s="29">
        <v>0</v>
      </c>
      <c r="L39" s="33" t="s">
        <v>86</v>
      </c>
      <c r="M39" s="34" t="s">
        <v>87</v>
      </c>
      <c r="N39" s="10"/>
      <c r="O39" s="10"/>
      <c r="P39" s="10"/>
      <c r="Q39" s="11"/>
      <c r="R39" s="7"/>
      <c r="S39" s="7"/>
      <c r="T39" s="7"/>
    </row>
    <row r="40" ht="69" spans="1:20">
      <c r="A40" s="29" t="s">
        <v>84</v>
      </c>
      <c r="B40" s="29" t="s">
        <v>93</v>
      </c>
      <c r="C40" s="29">
        <v>44.2</v>
      </c>
      <c r="D40" s="29">
        <v>-2.3</v>
      </c>
      <c r="E40" s="30">
        <v>1012</v>
      </c>
      <c r="F40" s="35">
        <v>188</v>
      </c>
      <c r="G40" s="35">
        <v>1</v>
      </c>
      <c r="H40" s="25"/>
      <c r="I40" s="28" t="s">
        <v>94</v>
      </c>
      <c r="J40" s="28">
        <v>2.03</v>
      </c>
      <c r="K40" s="28">
        <v>0</v>
      </c>
      <c r="L40" s="36" t="s">
        <v>95</v>
      </c>
      <c r="M40" s="34" t="s">
        <v>96</v>
      </c>
      <c r="N40" s="10"/>
      <c r="O40" s="10"/>
      <c r="P40" s="10"/>
      <c r="Q40" s="11"/>
      <c r="R40" s="7"/>
      <c r="S40" s="7"/>
      <c r="T40" s="7"/>
    </row>
    <row r="41" ht="69" spans="1:20">
      <c r="A41" s="29" t="s">
        <v>84</v>
      </c>
      <c r="B41" s="29" t="s">
        <v>97</v>
      </c>
      <c r="C41" s="29">
        <v>44.5</v>
      </c>
      <c r="D41" s="29">
        <v>-2.6</v>
      </c>
      <c r="E41" s="30">
        <v>1993</v>
      </c>
      <c r="F41" s="37">
        <v>256</v>
      </c>
      <c r="G41" s="37">
        <v>0</v>
      </c>
      <c r="H41" s="25"/>
      <c r="I41" s="28" t="s">
        <v>94</v>
      </c>
      <c r="J41" s="28">
        <v>3.26</v>
      </c>
      <c r="K41" s="28">
        <v>0</v>
      </c>
      <c r="L41" s="36" t="s">
        <v>95</v>
      </c>
      <c r="M41" s="34" t="s">
        <v>96</v>
      </c>
      <c r="N41" s="10"/>
      <c r="O41" s="10"/>
      <c r="P41" s="10"/>
      <c r="Q41" s="11"/>
      <c r="R41" s="7"/>
      <c r="S41" s="7"/>
      <c r="T41" s="7"/>
    </row>
    <row r="42" ht="69" spans="1:20">
      <c r="A42" s="29" t="s">
        <v>84</v>
      </c>
      <c r="B42" s="29" t="s">
        <v>98</v>
      </c>
      <c r="C42" s="29">
        <v>41.5</v>
      </c>
      <c r="D42" s="29">
        <v>-64</v>
      </c>
      <c r="E42" s="30">
        <v>2975</v>
      </c>
      <c r="F42" s="37">
        <v>272</v>
      </c>
      <c r="G42" s="37">
        <v>4</v>
      </c>
      <c r="H42" s="25"/>
      <c r="I42" s="36" t="s">
        <v>99</v>
      </c>
      <c r="J42" s="36">
        <v>3.91</v>
      </c>
      <c r="K42" s="36">
        <v>0</v>
      </c>
      <c r="L42" s="36" t="s">
        <v>95</v>
      </c>
      <c r="M42" s="34" t="s">
        <v>100</v>
      </c>
      <c r="N42" s="10"/>
      <c r="O42" s="10"/>
      <c r="P42" s="10"/>
      <c r="Q42" s="11"/>
      <c r="R42" s="7"/>
      <c r="S42" s="7"/>
      <c r="T42" s="7"/>
    </row>
    <row r="43" ht="69" spans="1:20">
      <c r="A43" s="29" t="s">
        <v>84</v>
      </c>
      <c r="B43" s="29" t="s">
        <v>101</v>
      </c>
      <c r="C43" s="29">
        <v>42</v>
      </c>
      <c r="D43" s="29">
        <v>-64.7</v>
      </c>
      <c r="E43" s="30">
        <v>2225</v>
      </c>
      <c r="F43" s="28">
        <v>270</v>
      </c>
      <c r="G43" s="28">
        <v>3</v>
      </c>
      <c r="H43" s="25"/>
      <c r="I43" s="28" t="s">
        <v>94</v>
      </c>
      <c r="J43" s="28">
        <v>3.1</v>
      </c>
      <c r="K43" s="28">
        <v>0.07</v>
      </c>
      <c r="L43" s="36" t="s">
        <v>95</v>
      </c>
      <c r="M43" s="34" t="s">
        <v>100</v>
      </c>
      <c r="N43" s="10"/>
      <c r="O43" s="10"/>
      <c r="P43" s="10"/>
      <c r="Q43" s="11"/>
      <c r="R43" s="7"/>
      <c r="S43" s="7"/>
      <c r="T43" s="7"/>
    </row>
    <row r="44" ht="69" spans="1:20">
      <c r="A44" s="29" t="s">
        <v>84</v>
      </c>
      <c r="B44" s="29" t="s">
        <v>102</v>
      </c>
      <c r="C44" s="29">
        <v>42</v>
      </c>
      <c r="D44" s="29">
        <v>-65</v>
      </c>
      <c r="E44" s="30">
        <v>1575</v>
      </c>
      <c r="F44" s="28">
        <v>270</v>
      </c>
      <c r="G44" s="28">
        <v>1</v>
      </c>
      <c r="H44" s="25"/>
      <c r="I44" s="28" t="s">
        <v>94</v>
      </c>
      <c r="J44" s="28">
        <v>2.88</v>
      </c>
      <c r="K44" s="28">
        <v>0.2</v>
      </c>
      <c r="L44" s="36" t="s">
        <v>95</v>
      </c>
      <c r="M44" s="34" t="s">
        <v>100</v>
      </c>
      <c r="N44" s="10"/>
      <c r="O44" s="10"/>
      <c r="P44" s="10"/>
      <c r="Q44" s="11"/>
      <c r="R44" s="7"/>
      <c r="S44" s="7"/>
      <c r="T44" s="7"/>
    </row>
    <row r="45" ht="69" spans="1:20">
      <c r="A45" s="29" t="s">
        <v>84</v>
      </c>
      <c r="B45" s="29" t="s">
        <v>103</v>
      </c>
      <c r="C45" s="29">
        <v>42</v>
      </c>
      <c r="D45" s="29">
        <v>-65</v>
      </c>
      <c r="E45" s="30">
        <v>1575</v>
      </c>
      <c r="F45" s="28">
        <v>270</v>
      </c>
      <c r="G45" s="28">
        <v>1</v>
      </c>
      <c r="H45" s="25"/>
      <c r="I45" s="28" t="s">
        <v>94</v>
      </c>
      <c r="J45" s="28">
        <v>2.96</v>
      </c>
      <c r="K45" s="28">
        <v>0.07</v>
      </c>
      <c r="L45" s="36" t="s">
        <v>95</v>
      </c>
      <c r="M45" s="34" t="s">
        <v>100</v>
      </c>
      <c r="N45" s="10"/>
      <c r="O45" s="10"/>
      <c r="P45" s="10"/>
      <c r="Q45" s="11"/>
      <c r="R45" s="7"/>
      <c r="S45" s="7"/>
      <c r="T45" s="7"/>
    </row>
    <row r="46" ht="69" spans="1:20">
      <c r="A46" s="29" t="s">
        <v>84</v>
      </c>
      <c r="B46" s="29" t="s">
        <v>104</v>
      </c>
      <c r="C46" s="29">
        <v>42</v>
      </c>
      <c r="D46" s="29">
        <v>-65</v>
      </c>
      <c r="E46" s="30">
        <v>1075</v>
      </c>
      <c r="F46" s="37">
        <v>267</v>
      </c>
      <c r="G46" s="37">
        <v>1</v>
      </c>
      <c r="H46" s="25"/>
      <c r="I46" s="28" t="s">
        <v>94</v>
      </c>
      <c r="J46" s="28">
        <v>2.47</v>
      </c>
      <c r="K46" s="28">
        <v>0</v>
      </c>
      <c r="L46" s="36" t="s">
        <v>95</v>
      </c>
      <c r="M46" s="34" t="s">
        <v>100</v>
      </c>
      <c r="N46" s="10"/>
      <c r="O46" s="10"/>
      <c r="P46" s="10"/>
      <c r="Q46" s="11"/>
      <c r="R46" s="7"/>
      <c r="S46" s="7"/>
      <c r="T46" s="7"/>
    </row>
    <row r="47" ht="69" spans="1:20">
      <c r="A47" s="29" t="s">
        <v>84</v>
      </c>
      <c r="B47" s="28" t="s">
        <v>105</v>
      </c>
      <c r="C47" s="29">
        <v>38.233</v>
      </c>
      <c r="D47" s="29">
        <v>-71.5</v>
      </c>
      <c r="E47" s="38">
        <v>3000</v>
      </c>
      <c r="F47" s="37">
        <v>269</v>
      </c>
      <c r="G47" s="37">
        <v>4</v>
      </c>
      <c r="H47" s="25"/>
      <c r="I47" s="28" t="s">
        <v>94</v>
      </c>
      <c r="J47" s="28">
        <v>3.56</v>
      </c>
      <c r="K47" s="28">
        <v>0</v>
      </c>
      <c r="L47" s="36" t="s">
        <v>95</v>
      </c>
      <c r="M47" s="34" t="s">
        <v>100</v>
      </c>
      <c r="N47" s="10"/>
      <c r="O47" s="10"/>
      <c r="P47" s="10"/>
      <c r="Q47" s="11"/>
      <c r="R47" s="7"/>
      <c r="S47" s="7"/>
      <c r="T47" s="7"/>
    </row>
    <row r="48" ht="69" spans="1:20">
      <c r="A48" s="29" t="s">
        <v>84</v>
      </c>
      <c r="B48" s="29" t="s">
        <v>106</v>
      </c>
      <c r="C48" s="29">
        <v>38.6</v>
      </c>
      <c r="D48" s="29">
        <v>-72.9</v>
      </c>
      <c r="E48" s="30">
        <v>2020</v>
      </c>
      <c r="F48" s="28">
        <v>263</v>
      </c>
      <c r="G48" s="28">
        <v>1</v>
      </c>
      <c r="H48" s="25"/>
      <c r="I48" s="28" t="s">
        <v>94</v>
      </c>
      <c r="J48" s="28">
        <v>2.76</v>
      </c>
      <c r="K48" s="28">
        <v>0.11</v>
      </c>
      <c r="L48" s="36" t="s">
        <v>95</v>
      </c>
      <c r="M48" s="34" t="s">
        <v>100</v>
      </c>
      <c r="N48" s="10"/>
      <c r="O48" s="10"/>
      <c r="P48" s="10"/>
      <c r="Q48" s="11"/>
      <c r="R48" s="7"/>
      <c r="S48" s="7"/>
      <c r="T48" s="7"/>
    </row>
    <row r="49" ht="69" spans="1:20">
      <c r="A49" s="29" t="s">
        <v>84</v>
      </c>
      <c r="B49" s="29" t="s">
        <v>107</v>
      </c>
      <c r="C49" s="29">
        <v>38.22</v>
      </c>
      <c r="D49" s="29">
        <v>-71.5</v>
      </c>
      <c r="E49" s="30">
        <v>3000</v>
      </c>
      <c r="F49" s="28">
        <v>270</v>
      </c>
      <c r="G49" s="28">
        <v>2</v>
      </c>
      <c r="H49" s="25"/>
      <c r="I49" s="28" t="s">
        <v>94</v>
      </c>
      <c r="J49" s="28">
        <v>3.39</v>
      </c>
      <c r="K49" s="28">
        <v>0.02</v>
      </c>
      <c r="L49" s="36" t="s">
        <v>95</v>
      </c>
      <c r="M49" s="34" t="s">
        <v>100</v>
      </c>
      <c r="N49" s="10"/>
      <c r="O49" s="10"/>
      <c r="P49" s="10"/>
      <c r="Q49" s="11"/>
      <c r="R49" s="7"/>
      <c r="S49" s="7"/>
      <c r="T49" s="7"/>
    </row>
    <row r="50" ht="69" spans="1:20">
      <c r="A50" s="29" t="s">
        <v>84</v>
      </c>
      <c r="B50" s="29" t="s">
        <v>108</v>
      </c>
      <c r="C50" s="29">
        <v>14.67</v>
      </c>
      <c r="D50" s="29">
        <v>-17.83</v>
      </c>
      <c r="E50" s="30">
        <v>1332</v>
      </c>
      <c r="F50" s="37">
        <v>185</v>
      </c>
      <c r="G50" s="37">
        <v>2</v>
      </c>
      <c r="H50" s="25"/>
      <c r="I50" s="28" t="s">
        <v>94</v>
      </c>
      <c r="J50" s="28">
        <v>1.99</v>
      </c>
      <c r="K50" s="28">
        <v>0</v>
      </c>
      <c r="L50" s="36" t="s">
        <v>95</v>
      </c>
      <c r="M50" s="34" t="s">
        <v>100</v>
      </c>
      <c r="N50" s="10"/>
      <c r="O50" s="10"/>
      <c r="P50" s="10"/>
      <c r="Q50" s="11"/>
      <c r="R50" s="7"/>
      <c r="S50" s="7"/>
      <c r="T50" s="7"/>
    </row>
    <row r="51" ht="69" spans="1:20">
      <c r="A51" s="29" t="s">
        <v>84</v>
      </c>
      <c r="B51" s="29" t="s">
        <v>109</v>
      </c>
      <c r="C51" s="29">
        <v>35.65</v>
      </c>
      <c r="D51" s="29">
        <v>-74.84</v>
      </c>
      <c r="E51" s="30">
        <v>1477</v>
      </c>
      <c r="F51" s="37">
        <v>264</v>
      </c>
      <c r="G51" s="37">
        <v>5</v>
      </c>
      <c r="H51" s="25"/>
      <c r="I51" s="28" t="s">
        <v>94</v>
      </c>
      <c r="J51" s="28">
        <v>2.28</v>
      </c>
      <c r="K51" s="28">
        <v>0</v>
      </c>
      <c r="L51" s="36" t="s">
        <v>95</v>
      </c>
      <c r="M51" s="34" t="s">
        <v>110</v>
      </c>
      <c r="N51" s="10"/>
      <c r="O51" s="10"/>
      <c r="P51" s="10"/>
      <c r="Q51" s="11"/>
      <c r="R51" s="7"/>
      <c r="S51" s="7"/>
      <c r="T51" s="7"/>
    </row>
    <row r="52" ht="82.8" spans="1:20">
      <c r="A52" s="29" t="s">
        <v>111</v>
      </c>
      <c r="B52" s="29" t="s">
        <v>112</v>
      </c>
      <c r="C52" s="29">
        <v>-36.73</v>
      </c>
      <c r="D52" s="29">
        <v>136.55</v>
      </c>
      <c r="E52" s="30">
        <v>2476</v>
      </c>
      <c r="F52" s="28">
        <v>179</v>
      </c>
      <c r="G52" s="28">
        <v>2</v>
      </c>
      <c r="H52" s="25"/>
      <c r="I52" s="28" t="s">
        <v>113</v>
      </c>
      <c r="J52" s="28">
        <v>1.98</v>
      </c>
      <c r="K52" s="28">
        <v>0.29</v>
      </c>
      <c r="L52" s="36" t="s">
        <v>95</v>
      </c>
      <c r="M52" s="34" t="s">
        <v>114</v>
      </c>
      <c r="N52" s="10"/>
      <c r="O52" s="10"/>
      <c r="P52" s="10"/>
      <c r="Q52" s="11"/>
      <c r="R52" s="7"/>
      <c r="S52" s="7"/>
      <c r="T52" s="7"/>
    </row>
    <row r="53" ht="82.8" spans="1:20">
      <c r="A53" s="29" t="s">
        <v>111</v>
      </c>
      <c r="B53" s="29" t="s">
        <v>115</v>
      </c>
      <c r="C53" s="29">
        <v>-36.81</v>
      </c>
      <c r="D53" s="29">
        <v>136.82</v>
      </c>
      <c r="E53" s="30">
        <v>1634</v>
      </c>
      <c r="F53" s="39">
        <v>167</v>
      </c>
      <c r="G53" s="39">
        <v>3</v>
      </c>
      <c r="H53" s="25"/>
      <c r="I53" s="28" t="s">
        <v>113</v>
      </c>
      <c r="J53" s="28">
        <v>1.6</v>
      </c>
      <c r="K53" s="28">
        <v>0</v>
      </c>
      <c r="L53" s="36" t="s">
        <v>95</v>
      </c>
      <c r="M53" s="34" t="s">
        <v>116</v>
      </c>
      <c r="N53" s="10"/>
      <c r="O53" s="10"/>
      <c r="P53" s="10"/>
      <c r="Q53" s="11"/>
      <c r="R53" s="7"/>
      <c r="S53" s="7"/>
      <c r="T53" s="7"/>
    </row>
    <row r="54" ht="82.8" spans="1:20">
      <c r="A54" s="29" t="s">
        <v>117</v>
      </c>
      <c r="B54" s="29" t="s">
        <v>118</v>
      </c>
      <c r="C54" s="29">
        <v>53.617</v>
      </c>
      <c r="D54" s="29">
        <v>-163.21</v>
      </c>
      <c r="E54" s="30">
        <v>1988</v>
      </c>
      <c r="F54" s="28">
        <v>62</v>
      </c>
      <c r="G54" s="28">
        <v>3</v>
      </c>
      <c r="H54" s="25"/>
      <c r="I54" s="28" t="s">
        <v>113</v>
      </c>
      <c r="J54" s="28">
        <v>0.82</v>
      </c>
      <c r="K54" s="28">
        <v>0.16</v>
      </c>
      <c r="L54" s="36" t="s">
        <v>95</v>
      </c>
      <c r="M54" s="34" t="s">
        <v>116</v>
      </c>
      <c r="N54" s="10"/>
      <c r="O54" s="10"/>
      <c r="P54" s="10"/>
      <c r="Q54" s="11"/>
      <c r="R54" s="7"/>
      <c r="S54" s="7"/>
      <c r="T54" s="7"/>
    </row>
    <row r="55" ht="69" spans="1:20">
      <c r="A55" s="29" t="s">
        <v>117</v>
      </c>
      <c r="B55" s="29" t="s">
        <v>119</v>
      </c>
      <c r="C55" s="29">
        <v>32.5</v>
      </c>
      <c r="D55" s="29">
        <v>-118</v>
      </c>
      <c r="E55" s="30">
        <v>1800</v>
      </c>
      <c r="F55" s="28">
        <v>56</v>
      </c>
      <c r="G55" s="28">
        <v>0</v>
      </c>
      <c r="H55" s="25"/>
      <c r="I55" s="28" t="s">
        <v>120</v>
      </c>
      <c r="J55" s="28">
        <v>0.84</v>
      </c>
      <c r="K55" s="28">
        <v>0.3</v>
      </c>
      <c r="L55" s="36" t="s">
        <v>95</v>
      </c>
      <c r="M55" s="34" t="s">
        <v>100</v>
      </c>
      <c r="N55" s="10"/>
      <c r="O55" s="10"/>
      <c r="P55" s="10"/>
      <c r="Q55" s="11"/>
      <c r="R55" s="7"/>
      <c r="S55" s="7"/>
      <c r="T55" s="7"/>
    </row>
    <row r="56" ht="69" spans="1:20">
      <c r="A56" s="29" t="s">
        <v>117</v>
      </c>
      <c r="B56" s="29" t="s">
        <v>121</v>
      </c>
      <c r="C56" s="29">
        <v>35.47</v>
      </c>
      <c r="D56" s="29">
        <v>-122.35</v>
      </c>
      <c r="E56" s="30">
        <v>3807</v>
      </c>
      <c r="F56" s="28">
        <v>137</v>
      </c>
      <c r="G56" s="28">
        <v>6</v>
      </c>
      <c r="H56" s="25"/>
      <c r="I56" s="28" t="s">
        <v>122</v>
      </c>
      <c r="J56" s="28">
        <v>1.44</v>
      </c>
      <c r="K56" s="28">
        <v>0.12</v>
      </c>
      <c r="L56" s="36" t="s">
        <v>95</v>
      </c>
      <c r="M56" s="34" t="s">
        <v>110</v>
      </c>
      <c r="N56" s="10"/>
      <c r="O56" s="10"/>
      <c r="P56" s="10"/>
      <c r="Q56" s="11"/>
      <c r="R56" s="7"/>
      <c r="S56" s="7"/>
      <c r="T56" s="7"/>
    </row>
    <row r="57" ht="69" spans="1:20">
      <c r="A57" s="29" t="s">
        <v>84</v>
      </c>
      <c r="B57" s="29" t="s">
        <v>123</v>
      </c>
      <c r="C57" s="29">
        <v>44.8</v>
      </c>
      <c r="D57" s="29">
        <v>-2.5</v>
      </c>
      <c r="E57" s="30">
        <v>2800</v>
      </c>
      <c r="F57" s="28">
        <v>246</v>
      </c>
      <c r="G57" s="28">
        <v>4</v>
      </c>
      <c r="H57" s="25"/>
      <c r="I57" s="28" t="s">
        <v>94</v>
      </c>
      <c r="J57" s="28">
        <v>2.66</v>
      </c>
      <c r="K57" s="28">
        <v>0.04</v>
      </c>
      <c r="L57" s="36" t="s">
        <v>95</v>
      </c>
      <c r="M57" s="34" t="s">
        <v>124</v>
      </c>
      <c r="N57" s="10"/>
      <c r="O57" s="10"/>
      <c r="P57" s="10"/>
      <c r="Q57" s="11"/>
      <c r="R57" s="7"/>
      <c r="S57" s="7"/>
      <c r="T57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苏河</cp:lastModifiedBy>
  <dcterms:created xsi:type="dcterms:W3CDTF">2026-06-14T11:08:00Z</dcterms:created>
  <dcterms:modified xsi:type="dcterms:W3CDTF">2026-07-19T09:35:17Z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089CE69A55744DCB812C5D78B8B06AD4_11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